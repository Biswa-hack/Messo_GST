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pivotTables/pivotTable2.xml" ContentType="application/vnd.openxmlformats-officedocument.spreadsheetml.pivotTable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91840\Downloads\"/>
    </mc:Choice>
  </mc:AlternateContent>
  <xr:revisionPtr revIDLastSave="0" documentId="13_ncr:1_{7A8E0D65-3124-450E-A1D3-64AEBFB8794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SN" sheetId="2" r:id="rId1"/>
    <sheet name="TCS" sheetId="7" r:id="rId2"/>
    <sheet name="B2C" sheetId="4" r:id="rId3"/>
    <sheet name="raw" sheetId="1" r:id="rId4"/>
    <sheet name=" State_Mapping" sheetId="6" r:id="rId5"/>
    <sheet name="Sheet3" sheetId="3" state="hidden" r:id="rId6"/>
    <sheet name="Sheet5" sheetId="5" state="hidden" r:id="rId7"/>
  </sheets>
  <definedNames>
    <definedName name="_xlnm._FilterDatabase" localSheetId="3" hidden="1">raw!$A$2:$Y$39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" i="1" l="1"/>
  <c r="J3" i="1"/>
  <c r="K3" i="1" s="1"/>
  <c r="M3" i="1"/>
  <c r="J4" i="1"/>
  <c r="M4" i="1" s="1"/>
  <c r="O4" i="1" s="1"/>
  <c r="K4" i="1"/>
  <c r="N4" i="1" s="1"/>
  <c r="L4" i="1"/>
  <c r="J5" i="1"/>
  <c r="K5" i="1" s="1"/>
  <c r="M5" i="1"/>
  <c r="J6" i="1"/>
  <c r="M6" i="1" s="1"/>
  <c r="O6" i="1" s="1"/>
  <c r="K6" i="1"/>
  <c r="L6" i="1"/>
  <c r="J7" i="1"/>
  <c r="K7" i="1" s="1"/>
  <c r="M7" i="1"/>
  <c r="J8" i="1"/>
  <c r="M8" i="1" s="1"/>
  <c r="O8" i="1" s="1"/>
  <c r="K8" i="1"/>
  <c r="N8" i="1" s="1"/>
  <c r="L8" i="1"/>
  <c r="J9" i="1"/>
  <c r="K9" i="1" s="1"/>
  <c r="M9" i="1"/>
  <c r="J10" i="1"/>
  <c r="M10" i="1" s="1"/>
  <c r="O10" i="1" s="1"/>
  <c r="K10" i="1"/>
  <c r="N10" i="1" s="1"/>
  <c r="L10" i="1"/>
  <c r="J11" i="1"/>
  <c r="K11" i="1" s="1"/>
  <c r="M11" i="1"/>
  <c r="J12" i="1"/>
  <c r="M12" i="1" s="1"/>
  <c r="O12" i="1" s="1"/>
  <c r="K12" i="1"/>
  <c r="L12" i="1"/>
  <c r="J13" i="1"/>
  <c r="K13" i="1" s="1"/>
  <c r="M13" i="1"/>
  <c r="J14" i="1"/>
  <c r="M14" i="1" s="1"/>
  <c r="O14" i="1" s="1"/>
  <c r="K14" i="1"/>
  <c r="L14" i="1"/>
  <c r="J15" i="1"/>
  <c r="K15" i="1" s="1"/>
  <c r="M15" i="1"/>
  <c r="J16" i="1"/>
  <c r="M16" i="1" s="1"/>
  <c r="O16" i="1" s="1"/>
  <c r="K16" i="1"/>
  <c r="N16" i="1" s="1"/>
  <c r="L16" i="1"/>
  <c r="J17" i="1"/>
  <c r="K17" i="1" s="1"/>
  <c r="M17" i="1"/>
  <c r="J18" i="1"/>
  <c r="M18" i="1" s="1"/>
  <c r="O18" i="1" s="1"/>
  <c r="K18" i="1"/>
  <c r="L18" i="1"/>
  <c r="J19" i="1"/>
  <c r="K19" i="1" s="1"/>
  <c r="M19" i="1"/>
  <c r="J20" i="1"/>
  <c r="M20" i="1" s="1"/>
  <c r="O20" i="1" s="1"/>
  <c r="K20" i="1"/>
  <c r="L20" i="1"/>
  <c r="J21" i="1"/>
  <c r="K21" i="1" s="1"/>
  <c r="M21" i="1"/>
  <c r="J22" i="1"/>
  <c r="M22" i="1" s="1"/>
  <c r="O22" i="1" s="1"/>
  <c r="K22" i="1"/>
  <c r="L22" i="1"/>
  <c r="J23" i="1"/>
  <c r="K23" i="1" s="1"/>
  <c r="M23" i="1"/>
  <c r="J24" i="1"/>
  <c r="L24" i="1" s="1"/>
  <c r="K24" i="1"/>
  <c r="J25" i="1"/>
  <c r="K25" i="1" s="1"/>
  <c r="M25" i="1"/>
  <c r="J26" i="1"/>
  <c r="M26" i="1" s="1"/>
  <c r="O26" i="1" s="1"/>
  <c r="K26" i="1"/>
  <c r="N26" i="1" s="1"/>
  <c r="L26" i="1"/>
  <c r="J27" i="1"/>
  <c r="K27" i="1" s="1"/>
  <c r="M27" i="1"/>
  <c r="J28" i="1"/>
  <c r="M28" i="1" s="1"/>
  <c r="O28" i="1" s="1"/>
  <c r="K28" i="1"/>
  <c r="L28" i="1"/>
  <c r="J29" i="1"/>
  <c r="K29" i="1" s="1"/>
  <c r="M29" i="1"/>
  <c r="J30" i="1"/>
  <c r="M30" i="1" s="1"/>
  <c r="O30" i="1" s="1"/>
  <c r="K30" i="1"/>
  <c r="L30" i="1"/>
  <c r="J31" i="1"/>
  <c r="K31" i="1" s="1"/>
  <c r="M31" i="1"/>
  <c r="J32" i="1"/>
  <c r="M32" i="1" s="1"/>
  <c r="O32" i="1" s="1"/>
  <c r="K32" i="1"/>
  <c r="L32" i="1"/>
  <c r="J33" i="1"/>
  <c r="K33" i="1" s="1"/>
  <c r="M33" i="1"/>
  <c r="J34" i="1"/>
  <c r="M34" i="1" s="1"/>
  <c r="O34" i="1" s="1"/>
  <c r="K34" i="1"/>
  <c r="N34" i="1" s="1"/>
  <c r="L34" i="1"/>
  <c r="J35" i="1"/>
  <c r="K35" i="1" s="1"/>
  <c r="M35" i="1"/>
  <c r="J36" i="1"/>
  <c r="M36" i="1" s="1"/>
  <c r="O36" i="1" s="1"/>
  <c r="K36" i="1"/>
  <c r="L36" i="1"/>
  <c r="J37" i="1"/>
  <c r="K37" i="1" s="1"/>
  <c r="M37" i="1"/>
  <c r="J38" i="1"/>
  <c r="M38" i="1" s="1"/>
  <c r="O38" i="1" s="1"/>
  <c r="K38" i="1"/>
  <c r="L38" i="1"/>
  <c r="E18" i="7"/>
  <c r="F18" i="7"/>
  <c r="G18" i="7"/>
  <c r="H18" i="7"/>
  <c r="I18" i="7"/>
  <c r="D18" i="7"/>
  <c r="O19" i="1" l="1"/>
  <c r="O11" i="1"/>
  <c r="N38" i="1"/>
  <c r="N30" i="1"/>
  <c r="N20" i="1"/>
  <c r="N12" i="1"/>
  <c r="N9" i="1"/>
  <c r="N36" i="1"/>
  <c r="N28" i="1"/>
  <c r="O21" i="1"/>
  <c r="N18" i="1"/>
  <c r="O13" i="1"/>
  <c r="O3" i="1"/>
  <c r="N13" i="1"/>
  <c r="N37" i="1"/>
  <c r="N32" i="1"/>
  <c r="N29" i="1"/>
  <c r="O27" i="1"/>
  <c r="N22" i="1"/>
  <c r="N14" i="1"/>
  <c r="N6" i="1"/>
  <c r="N3" i="1"/>
  <c r="L37" i="1"/>
  <c r="O37" i="1" s="1"/>
  <c r="L35" i="1"/>
  <c r="O35" i="1" s="1"/>
  <c r="L33" i="1"/>
  <c r="O33" i="1" s="1"/>
  <c r="L31" i="1"/>
  <c r="O31" i="1" s="1"/>
  <c r="L29" i="1"/>
  <c r="O29" i="1" s="1"/>
  <c r="L27" i="1"/>
  <c r="N27" i="1" s="1"/>
  <c r="L25" i="1"/>
  <c r="O25" i="1" s="1"/>
  <c r="L23" i="1"/>
  <c r="N23" i="1" s="1"/>
  <c r="L21" i="1"/>
  <c r="N21" i="1" s="1"/>
  <c r="L19" i="1"/>
  <c r="N19" i="1" s="1"/>
  <c r="L17" i="1"/>
  <c r="N17" i="1" s="1"/>
  <c r="L15" i="1"/>
  <c r="O15" i="1" s="1"/>
  <c r="L13" i="1"/>
  <c r="L11" i="1"/>
  <c r="N11" i="1" s="1"/>
  <c r="L9" i="1"/>
  <c r="O9" i="1" s="1"/>
  <c r="L7" i="1"/>
  <c r="O7" i="1" s="1"/>
  <c r="L5" i="1"/>
  <c r="O5" i="1" s="1"/>
  <c r="L3" i="1"/>
  <c r="M24" i="1"/>
  <c r="O24" i="1" s="1"/>
  <c r="H20" i="4"/>
  <c r="J8" i="4"/>
  <c r="J7" i="4"/>
  <c r="O17" i="1" l="1"/>
  <c r="N33" i="1"/>
  <c r="O23" i="1"/>
  <c r="N24" i="1"/>
  <c r="N5" i="1"/>
  <c r="N15" i="1"/>
  <c r="N25" i="1"/>
  <c r="N35" i="1"/>
  <c r="N31" i="1"/>
  <c r="N7" i="1"/>
  <c r="J9" i="4"/>
  <c r="H21" i="4" s="1"/>
  <c r="H22" i="4" s="1"/>
  <c r="B80" i="4" s="1"/>
  <c r="Z37" i="1"/>
  <c r="Z38" i="1"/>
  <c r="Z36" i="1"/>
  <c r="L8" i="4" l="1"/>
  <c r="M8" i="4"/>
  <c r="K8" i="4"/>
  <c r="G1" i="5" l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H10" i="5"/>
  <c r="I7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" i="5"/>
  <c r="J20" i="4" l="1"/>
  <c r="I20" i="4"/>
  <c r="K20" i="4"/>
  <c r="L7" i="4" l="1"/>
  <c r="M7" i="4"/>
  <c r="K7" i="4" l="1"/>
  <c r="K9" i="4" s="1"/>
  <c r="I21" i="4" s="1"/>
  <c r="I22" i="4" s="1"/>
  <c r="C80" i="4" s="1"/>
  <c r="L9" i="4"/>
  <c r="J21" i="4" s="1"/>
  <c r="J22" i="4" s="1"/>
  <c r="D80" i="4" s="1"/>
  <c r="M9" i="4"/>
  <c r="K21" i="4" s="1"/>
  <c r="K22" i="4" s="1"/>
  <c r="E80" i="4" s="1"/>
</calcChain>
</file>

<file path=xl/sharedStrings.xml><?xml version="1.0" encoding="utf-8"?>
<sst xmlns="http://schemas.openxmlformats.org/spreadsheetml/2006/main" count="1755" uniqueCount="217">
  <si>
    <t>WEBSITE</t>
  </si>
  <si>
    <t>order_date</t>
  </si>
  <si>
    <t>order_num</t>
  </si>
  <si>
    <t>hsn_code</t>
  </si>
  <si>
    <t>gst_rate</t>
  </si>
  <si>
    <t>tcs_taxable_amount</t>
  </si>
  <si>
    <t>end_customer_state_new</t>
  </si>
  <si>
    <t>TYPE</t>
  </si>
  <si>
    <t>QTY</t>
  </si>
  <si>
    <t>STATE</t>
  </si>
  <si>
    <t>CGST</t>
  </si>
  <si>
    <t>SGST</t>
  </si>
  <si>
    <t>IGST</t>
  </si>
  <si>
    <t>TOTAL</t>
  </si>
  <si>
    <t>APRIL</t>
  </si>
  <si>
    <t>West Bengal</t>
  </si>
  <si>
    <t>Bihar</t>
  </si>
  <si>
    <t>Kerala</t>
  </si>
  <si>
    <t>Tamil Nadu</t>
  </si>
  <si>
    <t>Uttar Pradesh</t>
  </si>
  <si>
    <t>Karnataka</t>
  </si>
  <si>
    <t>Odisha</t>
  </si>
  <si>
    <t>Assam</t>
  </si>
  <si>
    <t>19-West Bengal</t>
  </si>
  <si>
    <t>Arunachal Pradesh</t>
  </si>
  <si>
    <t>Andhra Pradesh</t>
  </si>
  <si>
    <t>Chhattisgarh</t>
  </si>
  <si>
    <t>Delhi</t>
  </si>
  <si>
    <t>Rajasthan</t>
  </si>
  <si>
    <t>Telangana</t>
  </si>
  <si>
    <t>Madhya Pradesh</t>
  </si>
  <si>
    <t>Maharashtra</t>
  </si>
  <si>
    <t>Tripura</t>
  </si>
  <si>
    <t>Haryana</t>
  </si>
  <si>
    <t>Jharkhand</t>
  </si>
  <si>
    <t>Gujarat</t>
  </si>
  <si>
    <t>Goa</t>
  </si>
  <si>
    <t>Uttarakhand</t>
  </si>
  <si>
    <t>Himachal Pradesh</t>
  </si>
  <si>
    <t>Punjab</t>
  </si>
  <si>
    <t>MAY</t>
  </si>
  <si>
    <t>Jammu and Kashmir</t>
  </si>
  <si>
    <t>01-Jammu &amp; Kashmir</t>
  </si>
  <si>
    <t>02-Himachal Pradesh</t>
  </si>
  <si>
    <t>03-Punjab</t>
  </si>
  <si>
    <t>Chandigarh</t>
  </si>
  <si>
    <t>04-Chandigarh</t>
  </si>
  <si>
    <t>05-Uttarakhand</t>
  </si>
  <si>
    <t>06-Haryana</t>
  </si>
  <si>
    <t>07-Delhi</t>
  </si>
  <si>
    <t>08-Rajasthan</t>
  </si>
  <si>
    <t>09-Uttar Pradesh</t>
  </si>
  <si>
    <t>10-Bihar</t>
  </si>
  <si>
    <t>Sikkim</t>
  </si>
  <si>
    <t>11-Sikkim</t>
  </si>
  <si>
    <t>12-Arunachal Pradesh</t>
  </si>
  <si>
    <t>Nagaland</t>
  </si>
  <si>
    <t>13-Nagaland</t>
  </si>
  <si>
    <t>Manipur</t>
  </si>
  <si>
    <t>14-Manipur</t>
  </si>
  <si>
    <t>Mizoram</t>
  </si>
  <si>
    <t>15-Mizoram</t>
  </si>
  <si>
    <t>16-Tripura</t>
  </si>
  <si>
    <t>17-Meghalaya</t>
  </si>
  <si>
    <t>18-Assam</t>
  </si>
  <si>
    <t>20-Jharkhand</t>
  </si>
  <si>
    <t>21-Odisha</t>
  </si>
  <si>
    <t>22-Chhattisgarh</t>
  </si>
  <si>
    <t>23-Madhya Pradesh</t>
  </si>
  <si>
    <t>24-Gujarat</t>
  </si>
  <si>
    <t>Daman and Diu</t>
  </si>
  <si>
    <t>25-Daman &amp; Diu</t>
  </si>
  <si>
    <t>THE DADRA AND NAGAR HAVELI AND DAMAN AND DIU</t>
  </si>
  <si>
    <t>26-Dadra &amp; Nagar Haveli &amp; Daman &amp; Diu</t>
  </si>
  <si>
    <t>27-Maharashtra</t>
  </si>
  <si>
    <t>29-Karnataka</t>
  </si>
  <si>
    <t>30-Goa</t>
  </si>
  <si>
    <t>31-Lakshdweep</t>
  </si>
  <si>
    <t>32-Kerala</t>
  </si>
  <si>
    <t>33-Tamil Nadu</t>
  </si>
  <si>
    <t>PONDICHERRY</t>
  </si>
  <si>
    <t>34-Puducherry</t>
  </si>
  <si>
    <t>35-Andaman &amp; Nicobar Islands</t>
  </si>
  <si>
    <t>36-Telangana</t>
  </si>
  <si>
    <t>37-Andhra Pradesh</t>
  </si>
  <si>
    <t>Ladakh</t>
  </si>
  <si>
    <t>38-Ladakh</t>
  </si>
  <si>
    <t>Other Territory</t>
  </si>
  <si>
    <t>97-Other Territory</t>
  </si>
  <si>
    <t>Jammu &amp; Kashmir</t>
  </si>
  <si>
    <t>Puducherry</t>
  </si>
  <si>
    <t>Dadra &amp; Nagar Haveli &amp; Daman &amp; Diu</t>
  </si>
  <si>
    <t>JUNE</t>
  </si>
  <si>
    <t>JULY</t>
  </si>
  <si>
    <t>SEPT</t>
  </si>
  <si>
    <t>OCT</t>
  </si>
  <si>
    <t>JAN</t>
  </si>
  <si>
    <t>Sum of tcs_taxable_amount</t>
  </si>
  <si>
    <t>Grand Total</t>
  </si>
  <si>
    <t>Megalaya</t>
  </si>
  <si>
    <t>Andaman and Nico.In.</t>
  </si>
  <si>
    <t>Lakshadweep</t>
  </si>
  <si>
    <t>BIHAR</t>
  </si>
  <si>
    <t>TAMIL NADU</t>
  </si>
  <si>
    <t>KARNATAKA</t>
  </si>
  <si>
    <t>ODISHA</t>
  </si>
  <si>
    <t>WEST BENGAL</t>
  </si>
  <si>
    <t>ASSAM</t>
  </si>
  <si>
    <t>KERALA</t>
  </si>
  <si>
    <t>UTTAR PRADESH</t>
  </si>
  <si>
    <t>MAHARASHTRA</t>
  </si>
  <si>
    <t>ANDHRA PRADESH</t>
  </si>
  <si>
    <t>MEGHALAYA</t>
  </si>
  <si>
    <t>MADHYA PRADESH</t>
  </si>
  <si>
    <t>TELANGANA</t>
  </si>
  <si>
    <t>RAJASTHAN</t>
  </si>
  <si>
    <t>TRIPURA</t>
  </si>
  <si>
    <t>GUJARAT</t>
  </si>
  <si>
    <t>ANDAMAN AND NICOBAR ISLANDS</t>
  </si>
  <si>
    <t>CHHATTISGARH</t>
  </si>
  <si>
    <t>nov</t>
  </si>
  <si>
    <t>dec</t>
  </si>
  <si>
    <t>FEB</t>
  </si>
  <si>
    <t>MARCH</t>
  </si>
  <si>
    <t>MAR</t>
  </si>
  <si>
    <t>AUG</t>
  </si>
  <si>
    <t>Andaman &amp; Nicobar Islands</t>
  </si>
  <si>
    <t>Values</t>
  </si>
  <si>
    <t>Sum of IGST</t>
  </si>
  <si>
    <t>Sum of CGST</t>
  </si>
  <si>
    <t>Sum of SGST</t>
  </si>
  <si>
    <t>Sum of TOTAL</t>
  </si>
  <si>
    <t>Dadra and Nagar Haveli</t>
  </si>
  <si>
    <t>1</t>
  </si>
  <si>
    <t>2</t>
  </si>
  <si>
    <t>3</t>
  </si>
  <si>
    <t>Daman &amp; Diu</t>
  </si>
  <si>
    <t>(All)</t>
  </si>
  <si>
    <t>Sale</t>
  </si>
  <si>
    <t>Return</t>
  </si>
  <si>
    <t>Flipkart</t>
  </si>
  <si>
    <t>Messo</t>
  </si>
  <si>
    <t>Supplies returned (₹)</t>
  </si>
  <si>
    <t>Net Value (₹)</t>
  </si>
  <si>
    <t>Integrated tax (₹)</t>
  </si>
  <si>
    <t>Central tax (₹)</t>
  </si>
  <si>
    <t>State/UT tax (₹)</t>
  </si>
  <si>
    <t>19AACCF0683K1CP</t>
  </si>
  <si>
    <t>FLIPKART INTERNET PRIVATE LIMITED</t>
  </si>
  <si>
    <t>19AACCF6368D1CU</t>
  </si>
  <si>
    <t>Fashnear Technologies Private Limited</t>
  </si>
  <si>
    <t>Sum of QTY</t>
  </si>
  <si>
    <t>Other than Westbegal</t>
  </si>
  <si>
    <t>GSTIN of E-com</t>
  </si>
  <si>
    <t>Name of E-com</t>
  </si>
  <si>
    <t>Name</t>
  </si>
  <si>
    <t>Intra state transaction vs Inter state transaction</t>
  </si>
  <si>
    <t>State</t>
  </si>
  <si>
    <t>Check</t>
  </si>
  <si>
    <t>2025-10-26</t>
  </si>
  <si>
    <t>2025-10-30</t>
  </si>
  <si>
    <t>2025-10-15</t>
  </si>
  <si>
    <t>2025-10-31</t>
  </si>
  <si>
    <t>2025-10-29</t>
  </si>
  <si>
    <t>2025-10-27</t>
  </si>
  <si>
    <t>2025-10-23</t>
  </si>
  <si>
    <t>2025-10-25</t>
  </si>
  <si>
    <t>2025-10-24</t>
  </si>
  <si>
    <t>2025-10-28</t>
  </si>
  <si>
    <t>2025-10-18</t>
  </si>
  <si>
    <t>2025-10-22</t>
  </si>
  <si>
    <t>213859143367869056_1</t>
  </si>
  <si>
    <t>215369961139472320_1</t>
  </si>
  <si>
    <t>209901312851657344_1</t>
  </si>
  <si>
    <t>215663424582677888_1</t>
  </si>
  <si>
    <t>215467415746878400_1</t>
  </si>
  <si>
    <t>215086371763783616_1</t>
  </si>
  <si>
    <t>209946414817507840_1</t>
  </si>
  <si>
    <t>214281690707789760_1</t>
  </si>
  <si>
    <t>212882143294190912_1</t>
  </si>
  <si>
    <t>215659617052556224_1</t>
  </si>
  <si>
    <t>213849024539893248_1</t>
  </si>
  <si>
    <t>215120786349442368_1</t>
  </si>
  <si>
    <t>215148891375640064_1</t>
  </si>
  <si>
    <t>213648880091504128_1</t>
  </si>
  <si>
    <t>215681136596122562_1</t>
  </si>
  <si>
    <t>213239270947817408_1</t>
  </si>
  <si>
    <t>215724414468846976_1</t>
  </si>
  <si>
    <t>215681677576608704_1</t>
  </si>
  <si>
    <t>214793307422913856_1</t>
  </si>
  <si>
    <t>214270780731688896_1</t>
  </si>
  <si>
    <t>214334552870044288_1</t>
  </si>
  <si>
    <t>214067237081874114_1</t>
  </si>
  <si>
    <t>215620244244636160_1</t>
  </si>
  <si>
    <t>214774703414548802_1</t>
  </si>
  <si>
    <t>215675376180952000_1</t>
  </si>
  <si>
    <t>213662166713716544_1</t>
  </si>
  <si>
    <t>211004573153786368_1</t>
  </si>
  <si>
    <t>215703836236150144_1</t>
  </si>
  <si>
    <t>212545075002083264_1</t>
  </si>
  <si>
    <t>213908405075707840_1</t>
  </si>
  <si>
    <t>214207252638397760_1</t>
  </si>
  <si>
    <t>213314098170984960_1</t>
  </si>
  <si>
    <t>215182102772293120_1</t>
  </si>
  <si>
    <t>19AARCM9332R1CL</t>
  </si>
  <si>
    <t>MEESHO TECHNOLOGIES PRIVATE LIMITED</t>
  </si>
  <si>
    <t>NO ACTION TAKEN</t>
  </si>
  <si>
    <t>(Multiple Items)</t>
  </si>
  <si>
    <t>Place of Supply (Name of State)</t>
  </si>
  <si>
    <t>Rate (%)</t>
  </si>
  <si>
    <t>Total Taxable Value</t>
  </si>
  <si>
    <t>Cess (₹)</t>
  </si>
  <si>
    <t>Applicable percentage(%)</t>
  </si>
  <si>
    <t>Actions</t>
  </si>
  <si>
    <t>-</t>
  </si>
  <si>
    <t>  </t>
  </si>
  <si>
    <t>=IF(J1=$X$22,F1*E1%/2,0)  next =IF(J1=$X$22,F1*E1%/2,0)  next =IF(J1=$X$22,0,F1*E1%)  next =K1+L1+M1+F1  next =(M1+L1+K1)/F1=E1%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</si>
</sst>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color rgb="FF212121"/>
      <name val="Verdana"/>
      <family val="2"/>
    </font>
    <font>
      <sz val="8"/>
      <color rgb="FF212121"/>
      <name val="Verdana"/>
      <family val="2"/>
    </font>
    <font>
      <sz val="11"/>
      <color rgb="FF0B1E59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Verdana"/>
      <family val="2"/>
    </font>
    <font>
      <b/>
      <u/>
      <sz val="11"/>
      <color theme="0"/>
      <name val="Calibri"/>
      <family val="2"/>
      <scheme val="minor"/>
    </font>
    <font>
      <b/>
      <sz val="11"/>
      <color rgb="FF21212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67">
    <xf numFmtId="0" fontId="0" fillId="0" borderId="0" xfId="0"/>
    <xf numFmtId="1" fontId="0" fillId="0" borderId="0" xfId="0" applyNumberFormat="1"/>
    <xf numFmtId="0" fontId="0" fillId="0" borderId="0" xfId="0" applyAlignment="1" applyProtection="1">
      <alignment vertical="top" wrapText="1"/>
      <protection locked="0"/>
    </xf>
    <xf numFmtId="0" fontId="0" fillId="0" borderId="0" xfId="0" pivotButton="1"/>
    <xf numFmtId="43" fontId="0" fillId="0" borderId="0" xfId="1" applyFont="1"/>
    <xf numFmtId="0" fontId="2" fillId="0" borderId="0" xfId="0" applyFont="1"/>
    <xf numFmtId="164" fontId="0" fillId="0" borderId="0" xfId="1" applyNumberFormat="1" applyFont="1"/>
    <xf numFmtId="0" fontId="0" fillId="0" borderId="0" xfId="0" applyAlignment="1">
      <alignment vertical="top" wrapText="1"/>
    </xf>
    <xf numFmtId="0" fontId="0" fillId="0" borderId="1" xfId="0" applyBorder="1"/>
    <xf numFmtId="1" fontId="0" fillId="0" borderId="1" xfId="0" applyNumberFormat="1" applyBorder="1"/>
    <xf numFmtId="43" fontId="0" fillId="0" borderId="1" xfId="1" applyFont="1" applyBorder="1"/>
    <xf numFmtId="43" fontId="0" fillId="0" borderId="0" xfId="0" applyNumberFormat="1"/>
    <xf numFmtId="0" fontId="8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17" fontId="7" fillId="0" borderId="2" xfId="0" applyNumberFormat="1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1" fontId="5" fillId="0" borderId="1" xfId="0" applyNumberFormat="1" applyFont="1" applyBorder="1" applyProtection="1">
      <protection locked="0"/>
    </xf>
    <xf numFmtId="0" fontId="5" fillId="0" borderId="1" xfId="0" applyFont="1" applyBorder="1"/>
    <xf numFmtId="43" fontId="0" fillId="0" borderId="1" xfId="0" applyNumberFormat="1" applyBorder="1"/>
    <xf numFmtId="43" fontId="5" fillId="0" borderId="0" xfId="0" applyNumberFormat="1" applyFont="1"/>
    <xf numFmtId="43" fontId="0" fillId="0" borderId="0" xfId="1" applyFont="1" applyBorder="1"/>
    <xf numFmtId="0" fontId="0" fillId="0" borderId="5" xfId="0" applyBorder="1"/>
    <xf numFmtId="0" fontId="11" fillId="2" borderId="1" xfId="0" applyFont="1" applyFill="1" applyBorder="1"/>
    <xf numFmtId="0" fontId="13" fillId="2" borderId="1" xfId="0" applyFont="1" applyFill="1" applyBorder="1" applyAlignment="1">
      <alignment horizontal="right" vertical="top" wrapText="1"/>
    </xf>
    <xf numFmtId="0" fontId="7" fillId="0" borderId="1" xfId="0" applyFont="1" applyBorder="1" applyAlignment="1">
      <alignment horizontal="center" vertical="center" wrapText="1"/>
    </xf>
    <xf numFmtId="43" fontId="0" fillId="0" borderId="5" xfId="1" applyFont="1" applyBorder="1"/>
    <xf numFmtId="43" fontId="0" fillId="0" borderId="1" xfId="1" applyFont="1" applyBorder="1" applyProtection="1">
      <protection locked="0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 vertical="top" wrapText="1"/>
    </xf>
    <xf numFmtId="0" fontId="7" fillId="0" borderId="0" xfId="0" applyFont="1" applyAlignment="1">
      <alignment horizontal="center" vertical="center" wrapText="1"/>
    </xf>
    <xf numFmtId="17" fontId="7" fillId="0" borderId="0" xfId="0" applyNumberFormat="1" applyFont="1" applyAlignment="1">
      <alignment horizontal="center" vertical="center" wrapText="1"/>
    </xf>
    <xf numFmtId="4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0" fillId="0" borderId="1" xfId="0" pivotButton="1" applyBorder="1"/>
    <xf numFmtId="164" fontId="0" fillId="0" borderId="1" xfId="0" applyNumberFormat="1" applyBorder="1"/>
    <xf numFmtId="0" fontId="12" fillId="2" borderId="1" xfId="0" applyFont="1" applyFill="1" applyBorder="1"/>
    <xf numFmtId="9" fontId="11" fillId="0" borderId="0" xfId="2" applyFont="1" applyFill="1" applyBorder="1"/>
    <xf numFmtId="9" fontId="0" fillId="0" borderId="0" xfId="2" applyFont="1" applyFill="1" applyBorder="1"/>
    <xf numFmtId="43" fontId="11" fillId="2" borderId="1" xfId="0" applyNumberFormat="1" applyFont="1" applyFill="1" applyBorder="1"/>
    <xf numFmtId="43" fontId="0" fillId="0" borderId="1" xfId="0" pivotButton="1" applyNumberFormat="1" applyBorder="1"/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vertical="center" wrapText="1"/>
    </xf>
    <xf numFmtId="4" fontId="8" fillId="4" borderId="2" xfId="0" applyNumberFormat="1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center" vertical="center"/>
    </xf>
    <xf numFmtId="17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right" vertical="center"/>
    </xf>
    <xf numFmtId="4" fontId="8" fillId="4" borderId="2" xfId="0" applyNumberFormat="1" applyFont="1" applyFill="1" applyBorder="1" applyAlignment="1">
      <alignment horizontal="right" vertical="center"/>
    </xf>
    <xf numFmtId="0" fontId="15" fillId="4" borderId="6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1" fontId="0" fillId="0" borderId="0" xfId="0" applyNumberFormat="1" applyBorder="1" applyProtection="1">
      <protection locked="0"/>
    </xf>
    <xf numFmtId="43" fontId="0" fillId="0" borderId="0" xfId="1" applyFont="1" applyBorder="1" applyProtection="1">
      <protection locked="0"/>
    </xf>
    <xf numFmtId="2" fontId="0" fillId="0" borderId="0" xfId="0" applyNumberFormat="1" applyBorder="1" applyProtection="1">
      <protection locked="0"/>
    </xf>
    <xf numFmtId="1" fontId="0" fillId="0" borderId="0" xfId="0" applyNumberFormat="1" applyBorder="1"/>
    <xf numFmtId="1" fontId="0" fillId="0" borderId="0" xfId="0" quotePrefix="1" applyNumberFormat="1" applyBorder="1"/>
    <xf numFmtId="9" fontId="0" fillId="0" borderId="0" xfId="2" quotePrefix="1" applyFont="1" applyBorder="1"/>
    <xf numFmtId="0" fontId="0" fillId="0" borderId="0" xfId="0" applyBorder="1"/>
    <xf numFmtId="1" fontId="11" fillId="2" borderId="0" xfId="0" applyNumberFormat="1" applyFont="1" applyFill="1" applyBorder="1" applyProtection="1">
      <protection locked="0"/>
    </xf>
    <xf numFmtId="43" fontId="11" fillId="2" borderId="0" xfId="1" applyFont="1" applyFill="1" applyBorder="1" applyProtection="1">
      <protection locked="0"/>
    </xf>
    <xf numFmtId="1" fontId="11" fillId="2" borderId="0" xfId="0" applyNumberFormat="1" applyFont="1" applyFill="1" applyBorder="1"/>
    <xf numFmtId="9" fontId="11" fillId="2" borderId="0" xfId="2" applyFont="1" applyFill="1" applyBorder="1"/>
    <xf numFmtId="9" fontId="0" fillId="0" borderId="0" xfId="2" applyFont="1" applyBorder="1"/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72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19</xdr:col>
          <xdr:colOff>137160</xdr:colOff>
          <xdr:row>2</xdr:row>
          <xdr:rowOff>38100</xdr:rowOff>
        </xdr:to>
        <xdr:sp macro="" textlink="">
          <xdr:nvSpPr>
            <xdr:cNvPr id="7169" name="Control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53340</xdr:rowOff>
        </xdr:to>
        <xdr:sp macro="" textlink="">
          <xdr:nvSpPr>
            <xdr:cNvPr id="7170" name="Control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19</xdr:col>
          <xdr:colOff>137160</xdr:colOff>
          <xdr:row>3</xdr:row>
          <xdr:rowOff>38100</xdr:rowOff>
        </xdr:to>
        <xdr:sp macro="" textlink="">
          <xdr:nvSpPr>
            <xdr:cNvPr id="7171" name="Control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53340</xdr:rowOff>
        </xdr:to>
        <xdr:sp macro="" textlink="">
          <xdr:nvSpPr>
            <xdr:cNvPr id="7172" name="Control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1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19</xdr:col>
          <xdr:colOff>137160</xdr:colOff>
          <xdr:row>4</xdr:row>
          <xdr:rowOff>38100</xdr:rowOff>
        </xdr:to>
        <xdr:sp macro="" textlink="">
          <xdr:nvSpPr>
            <xdr:cNvPr id="7173" name="Control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1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53340</xdr:rowOff>
        </xdr:to>
        <xdr:sp macro="" textlink="">
          <xdr:nvSpPr>
            <xdr:cNvPr id="7174" name="Control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1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19</xdr:col>
          <xdr:colOff>137160</xdr:colOff>
          <xdr:row>5</xdr:row>
          <xdr:rowOff>38100</xdr:rowOff>
        </xdr:to>
        <xdr:sp macro="" textlink="">
          <xdr:nvSpPr>
            <xdr:cNvPr id="7175" name="Control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1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53340</xdr:rowOff>
        </xdr:to>
        <xdr:sp macro="" textlink="">
          <xdr:nvSpPr>
            <xdr:cNvPr id="7176" name="Control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1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19</xdr:col>
          <xdr:colOff>137160</xdr:colOff>
          <xdr:row>6</xdr:row>
          <xdr:rowOff>38100</xdr:rowOff>
        </xdr:to>
        <xdr:sp macro="" textlink="">
          <xdr:nvSpPr>
            <xdr:cNvPr id="7177" name="Control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1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53340</xdr:rowOff>
        </xdr:to>
        <xdr:sp macro="" textlink="">
          <xdr:nvSpPr>
            <xdr:cNvPr id="7178" name="Control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1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19</xdr:col>
          <xdr:colOff>137160</xdr:colOff>
          <xdr:row>7</xdr:row>
          <xdr:rowOff>38100</xdr:rowOff>
        </xdr:to>
        <xdr:sp macro="" textlink="">
          <xdr:nvSpPr>
            <xdr:cNvPr id="7179" name="Control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1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53340</xdr:rowOff>
        </xdr:to>
        <xdr:sp macro="" textlink="">
          <xdr:nvSpPr>
            <xdr:cNvPr id="7180" name="Control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1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19</xdr:col>
          <xdr:colOff>137160</xdr:colOff>
          <xdr:row>8</xdr:row>
          <xdr:rowOff>38100</xdr:rowOff>
        </xdr:to>
        <xdr:sp macro="" textlink="">
          <xdr:nvSpPr>
            <xdr:cNvPr id="7181" name="Control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1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53340</xdr:rowOff>
        </xdr:to>
        <xdr:sp macro="" textlink="">
          <xdr:nvSpPr>
            <xdr:cNvPr id="7182" name="Control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1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19</xdr:col>
          <xdr:colOff>137160</xdr:colOff>
          <xdr:row>9</xdr:row>
          <xdr:rowOff>38100</xdr:rowOff>
        </xdr:to>
        <xdr:sp macro="" textlink="">
          <xdr:nvSpPr>
            <xdr:cNvPr id="7183" name="Control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1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53340</xdr:rowOff>
        </xdr:to>
        <xdr:sp macro="" textlink="">
          <xdr:nvSpPr>
            <xdr:cNvPr id="7184" name="Control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1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19</xdr:col>
          <xdr:colOff>137160</xdr:colOff>
          <xdr:row>10</xdr:row>
          <xdr:rowOff>38100</xdr:rowOff>
        </xdr:to>
        <xdr:sp macro="" textlink="">
          <xdr:nvSpPr>
            <xdr:cNvPr id="7185" name="Control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1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53340</xdr:rowOff>
        </xdr:to>
        <xdr:sp macro="" textlink="">
          <xdr:nvSpPr>
            <xdr:cNvPr id="7186" name="Control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1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19</xdr:col>
          <xdr:colOff>137160</xdr:colOff>
          <xdr:row>11</xdr:row>
          <xdr:rowOff>38100</xdr:rowOff>
        </xdr:to>
        <xdr:sp macro="" textlink="">
          <xdr:nvSpPr>
            <xdr:cNvPr id="7187" name="Control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1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53340</xdr:rowOff>
        </xdr:to>
        <xdr:sp macro="" textlink="">
          <xdr:nvSpPr>
            <xdr:cNvPr id="7188" name="Control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1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19</xdr:col>
          <xdr:colOff>137160</xdr:colOff>
          <xdr:row>12</xdr:row>
          <xdr:rowOff>38100</xdr:rowOff>
        </xdr:to>
        <xdr:sp macro="" textlink="">
          <xdr:nvSpPr>
            <xdr:cNvPr id="7189" name="Control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1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53340</xdr:rowOff>
        </xdr:to>
        <xdr:sp macro="" textlink="">
          <xdr:nvSpPr>
            <xdr:cNvPr id="7190" name="Control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1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19</xdr:col>
          <xdr:colOff>137160</xdr:colOff>
          <xdr:row>13</xdr:row>
          <xdr:rowOff>38100</xdr:rowOff>
        </xdr:to>
        <xdr:sp macro="" textlink="">
          <xdr:nvSpPr>
            <xdr:cNvPr id="7191" name="Control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1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53340</xdr:rowOff>
        </xdr:to>
        <xdr:sp macro="" textlink="">
          <xdr:nvSpPr>
            <xdr:cNvPr id="7192" name="Control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1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19</xdr:col>
          <xdr:colOff>137160</xdr:colOff>
          <xdr:row>14</xdr:row>
          <xdr:rowOff>38100</xdr:rowOff>
        </xdr:to>
        <xdr:sp macro="" textlink="">
          <xdr:nvSpPr>
            <xdr:cNvPr id="7193" name="Control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1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15</xdr:row>
          <xdr:rowOff>53340</xdr:rowOff>
        </xdr:to>
        <xdr:sp macro="" textlink="">
          <xdr:nvSpPr>
            <xdr:cNvPr id="7194" name="Control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1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19</xdr:col>
          <xdr:colOff>137160</xdr:colOff>
          <xdr:row>15</xdr:row>
          <xdr:rowOff>38100</xdr:rowOff>
        </xdr:to>
        <xdr:sp macro="" textlink="">
          <xdr:nvSpPr>
            <xdr:cNvPr id="7195" name="Control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1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16</xdr:row>
          <xdr:rowOff>53340</xdr:rowOff>
        </xdr:to>
        <xdr:sp macro="" textlink="">
          <xdr:nvSpPr>
            <xdr:cNvPr id="7196" name="Control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1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19</xdr:col>
          <xdr:colOff>137160</xdr:colOff>
          <xdr:row>16</xdr:row>
          <xdr:rowOff>38100</xdr:rowOff>
        </xdr:to>
        <xdr:sp macro="" textlink="">
          <xdr:nvSpPr>
            <xdr:cNvPr id="7197" name="Control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1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53340</xdr:rowOff>
        </xdr:to>
        <xdr:sp macro="" textlink="">
          <xdr:nvSpPr>
            <xdr:cNvPr id="7198" name="Control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1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1847</xdr:colOff>
          <xdr:row>54</xdr:row>
          <xdr:rowOff>146088</xdr:rowOff>
        </xdr:from>
        <xdr:to>
          <xdr:col>1</xdr:col>
          <xdr:colOff>885767</xdr:colOff>
          <xdr:row>55</xdr:row>
          <xdr:rowOff>182264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1847</xdr:colOff>
          <xdr:row>54</xdr:row>
          <xdr:rowOff>146088</xdr:rowOff>
        </xdr:from>
        <xdr:to>
          <xdr:col>1</xdr:col>
          <xdr:colOff>230447</xdr:colOff>
          <xdr:row>56</xdr:row>
          <xdr:rowOff>5080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1847</xdr:colOff>
          <xdr:row>54</xdr:row>
          <xdr:rowOff>146088</xdr:rowOff>
        </xdr:from>
        <xdr:to>
          <xdr:col>1</xdr:col>
          <xdr:colOff>230447</xdr:colOff>
          <xdr:row>56</xdr:row>
          <xdr:rowOff>5080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1847</xdr:colOff>
          <xdr:row>54</xdr:row>
          <xdr:rowOff>146088</xdr:rowOff>
        </xdr:from>
        <xdr:to>
          <xdr:col>1</xdr:col>
          <xdr:colOff>230447</xdr:colOff>
          <xdr:row>56</xdr:row>
          <xdr:rowOff>5080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wajit Chakraborty" refreshedDate="45980.969054398149" createdVersion="5" refreshedVersion="8" minRefreshableVersion="3" recordCount="38" xr:uid="{00000000-000A-0000-FFFF-FFFF09010000}">
  <cacheSource type="worksheet">
    <worksheetSource ref="A2:N1048576" sheet="raw"/>
  </cacheSource>
  <cacheFields count="14">
    <cacheField name="WEBSITE" numFmtId="0">
      <sharedItems containsBlank="1" count="3">
        <s v="Messo"/>
        <m/>
        <s v="Flipkart" u="1"/>
      </sharedItems>
    </cacheField>
    <cacheField name="order_date" numFmtId="0">
      <sharedItems containsBlank="1"/>
    </cacheField>
    <cacheField name="order_num" numFmtId="0">
      <sharedItems containsBlank="1"/>
    </cacheField>
    <cacheField name="hsn_code" numFmtId="0">
      <sharedItems containsString="0" containsBlank="1" containsNumber="1" containsInteger="1" minValue="6104" maxValue="62092000" count="16">
        <n v="6111"/>
        <n v="611120"/>
        <m/>
        <n v="6211" u="1"/>
        <n v="6209" u="1"/>
        <n v="62092000" u="1"/>
        <n v="620920" u="1"/>
        <n v="6204" u="1"/>
        <n v="620930" u="1"/>
        <n v="620419" u="1"/>
        <n v="6104" u="1"/>
        <n v="620990" u="1"/>
        <n v="620442" u="1"/>
        <n v="611190" u="1"/>
        <n v="62044390" u="1"/>
        <n v="61044990" u="1"/>
      </sharedItems>
    </cacheField>
    <cacheField name="gst_rate" numFmtId="0">
      <sharedItems containsString="0" containsBlank="1" containsNumber="1" containsInteger="1" minValue="5" maxValue="5" count="2">
        <n v="5"/>
        <m/>
      </sharedItems>
    </cacheField>
    <cacheField name="tcs_taxable_amount" numFmtId="0">
      <sharedItems containsString="0" containsBlank="1" containsNumber="1" minValue="-362.85714300000001" maxValue="455.23809519999998"/>
    </cacheField>
    <cacheField name="end_customer_state_new" numFmtId="0">
      <sharedItems containsBlank="1"/>
    </cacheField>
    <cacheField name="TYPE" numFmtId="0">
      <sharedItems containsBlank="1" count="4">
        <s v="Sale"/>
        <s v="Return"/>
        <m/>
        <s v="Cash Back" u="1"/>
      </sharedItems>
    </cacheField>
    <cacheField name="QTY" numFmtId="0">
      <sharedItems containsString="0" containsBlank="1" containsNumber="1" containsInteger="1" minValue="-1" maxValue="1"/>
    </cacheField>
    <cacheField name="STATE" numFmtId="0">
      <sharedItems containsBlank="1" count="36">
        <s v="33-Tamil Nadu"/>
        <s v="24-Gujarat"/>
        <s v="27-Maharashtra"/>
        <s v="32-Kerala"/>
        <s v="37-Andhra Pradesh"/>
        <s v="21-Odisha"/>
        <s v="09-Uttar Pradesh"/>
        <s v="18-Assam"/>
        <s v="23-Madhya Pradesh"/>
        <s v="36-Telangana"/>
        <s v="10-Bihar"/>
        <s v="29-Karnataka"/>
        <s v="19-West Bengal"/>
        <s v="16-Tripura"/>
        <s v="22-Chhattisgarh"/>
        <s v="08-Rajasthan"/>
        <m/>
        <s v="05-Uttarakhand" u="1"/>
        <s v="20-Jharkhand" u="1"/>
        <s v="06-Haryana" u="1"/>
        <s v="17-Meghalaya" u="1"/>
        <s v="12-Arunachal Pradesh" u="1"/>
        <s v="01-Jammu &amp; Kashmir" u="1"/>
        <s v="14-Manipur" u="1"/>
        <s v="03-Punjab" u="1"/>
        <s v="07-Delhi" u="1"/>
        <s v="04-Chandigarh" u="1"/>
        <s v="02-Himachal Pradesh" u="1"/>
        <s v="30-Goa" u="1"/>
        <s v="11-Sikkim" u="1"/>
        <s v="34-Puducherry" u="1"/>
        <s v="13-Nagaland" u="1"/>
        <s v="35-Andaman &amp; Nicobar Islands" u="1"/>
        <s v="15-Mizoram" u="1"/>
        <s v="26-Dadra &amp; Nagar Haveli &amp; Daman &amp; Diu" u="1"/>
        <e v="#N/A" u="1"/>
      </sharedItems>
    </cacheField>
    <cacheField name="CGST" numFmtId="0">
      <sharedItems containsString="0" containsBlank="1" containsNumber="1" minValue="0" maxValue="11.023809525000001"/>
    </cacheField>
    <cacheField name="SGST" numFmtId="0">
      <sharedItems containsString="0" containsBlank="1" containsNumber="1" minValue="0" maxValue="11.023809525000001"/>
    </cacheField>
    <cacheField name="IGST" numFmtId="0">
      <sharedItems containsString="0" containsBlank="1" containsNumber="1" minValue="-18.142857150000001" maxValue="22.76190476"/>
    </cacheField>
    <cacheField name="TOTAL" numFmtId="0">
      <sharedItems containsString="0" containsBlank="1" containsNumber="1" minValue="-381.00000015000001" maxValue="477.99999995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s v="2025-10-26"/>
    <s v="213859143367869056_1"/>
    <x v="0"/>
    <x v="0"/>
    <n v="344.76190480000002"/>
    <s v="TAMIL NADU"/>
    <x v="0"/>
    <n v="1"/>
    <x v="0"/>
    <n v="0"/>
    <n v="0"/>
    <n v="17.238095240000003"/>
    <n v="362.00000004000003"/>
  </r>
  <r>
    <x v="0"/>
    <s v="2025-10-30"/>
    <s v="215369961139472320_1"/>
    <x v="1"/>
    <x v="0"/>
    <n v="445.7142857"/>
    <s v="GUJARAT"/>
    <x v="0"/>
    <n v="1"/>
    <x v="1"/>
    <n v="0"/>
    <n v="0"/>
    <n v="22.285714285000001"/>
    <n v="467.99999998499999"/>
  </r>
  <r>
    <x v="0"/>
    <s v="2025-10-15"/>
    <s v="209901312851657344_1"/>
    <x v="0"/>
    <x v="0"/>
    <n v="281.90476189999998"/>
    <s v="MAHARASHTRA"/>
    <x v="0"/>
    <n v="1"/>
    <x v="2"/>
    <n v="0"/>
    <n v="0"/>
    <n v="14.095238094999999"/>
    <n v="295.999999995"/>
  </r>
  <r>
    <x v="0"/>
    <s v="2025-10-31"/>
    <s v="215663424582677888_1"/>
    <x v="0"/>
    <x v="0"/>
    <n v="374.2857143"/>
    <s v="KERALA"/>
    <x v="0"/>
    <n v="1"/>
    <x v="3"/>
    <n v="0"/>
    <n v="0"/>
    <n v="18.714285714999999"/>
    <n v="393.00000001500001"/>
  </r>
  <r>
    <x v="0"/>
    <s v="2025-10-30"/>
    <s v="215467415746878400_1"/>
    <x v="0"/>
    <x v="0"/>
    <n v="343.80952380000002"/>
    <s v="MAHARASHTRA"/>
    <x v="0"/>
    <n v="1"/>
    <x v="2"/>
    <n v="0"/>
    <n v="0"/>
    <n v="17.190476190000002"/>
    <n v="360.99999999000005"/>
  </r>
  <r>
    <x v="0"/>
    <s v="2025-10-29"/>
    <s v="215086371763783616_1"/>
    <x v="0"/>
    <x v="0"/>
    <n v="265.7142857"/>
    <s v="ANDHRA PRADESH"/>
    <x v="0"/>
    <n v="1"/>
    <x v="4"/>
    <n v="0"/>
    <n v="0"/>
    <n v="13.285714285000001"/>
    <n v="278.99999998499999"/>
  </r>
  <r>
    <x v="0"/>
    <s v="2025-10-15"/>
    <s v="209946414817507840_1"/>
    <x v="0"/>
    <x v="0"/>
    <n v="303.80952380000002"/>
    <s v="TAMIL NADU"/>
    <x v="0"/>
    <n v="1"/>
    <x v="0"/>
    <n v="0"/>
    <n v="0"/>
    <n v="15.190476190000002"/>
    <n v="318.99999999000005"/>
  </r>
  <r>
    <x v="0"/>
    <s v="2025-10-27"/>
    <s v="214281690707789760_1"/>
    <x v="0"/>
    <x v="0"/>
    <n v="285.7142857"/>
    <s v="ODISHA"/>
    <x v="0"/>
    <n v="1"/>
    <x v="5"/>
    <n v="0"/>
    <n v="0"/>
    <n v="14.285714285000001"/>
    <n v="299.99999998499999"/>
  </r>
  <r>
    <x v="0"/>
    <s v="2025-10-23"/>
    <s v="212882143294190912_1"/>
    <x v="0"/>
    <x v="0"/>
    <n v="352.38095240000001"/>
    <s v="KERALA"/>
    <x v="0"/>
    <n v="1"/>
    <x v="3"/>
    <n v="0"/>
    <n v="0"/>
    <n v="17.61904762"/>
    <n v="370.00000002000002"/>
  </r>
  <r>
    <x v="0"/>
    <s v="2025-10-31"/>
    <s v="215659617052556224_1"/>
    <x v="1"/>
    <x v="0"/>
    <n v="432.38095240000001"/>
    <s v="UTTAR PRADESH"/>
    <x v="0"/>
    <n v="1"/>
    <x v="6"/>
    <n v="0"/>
    <n v="0"/>
    <n v="21.619047620000003"/>
    <n v="454.00000002000002"/>
  </r>
  <r>
    <x v="0"/>
    <s v="2025-10-26"/>
    <s v="213849024539893248_1"/>
    <x v="0"/>
    <x v="0"/>
    <n v="320.952381"/>
    <s v="ASSAM"/>
    <x v="0"/>
    <n v="1"/>
    <x v="7"/>
    <n v="0"/>
    <n v="0"/>
    <n v="16.047619050000002"/>
    <n v="337.00000004999998"/>
  </r>
  <r>
    <x v="0"/>
    <s v="2025-10-29"/>
    <s v="215120786349442368_1"/>
    <x v="1"/>
    <x v="0"/>
    <n v="433.33333329999999"/>
    <s v="MADHYA PRADESH"/>
    <x v="0"/>
    <n v="1"/>
    <x v="8"/>
    <n v="0"/>
    <n v="0"/>
    <n v="21.666666665000001"/>
    <n v="454.99999996499997"/>
  </r>
  <r>
    <x v="0"/>
    <s v="2025-10-29"/>
    <s v="215148891375640064_1"/>
    <x v="0"/>
    <x v="0"/>
    <n v="295.23809519999998"/>
    <s v="TELANGANA"/>
    <x v="0"/>
    <n v="1"/>
    <x v="9"/>
    <n v="0"/>
    <n v="0"/>
    <n v="14.76190476"/>
    <n v="309.99999995999997"/>
  </r>
  <r>
    <x v="0"/>
    <s v="2025-10-25"/>
    <s v="213648880091504128_1"/>
    <x v="0"/>
    <x v="0"/>
    <n v="355.23809519999998"/>
    <s v="TAMIL NADU"/>
    <x v="0"/>
    <n v="1"/>
    <x v="0"/>
    <n v="0"/>
    <n v="0"/>
    <n v="17.76190476"/>
    <n v="372.99999995999997"/>
  </r>
  <r>
    <x v="0"/>
    <s v="2025-10-31"/>
    <s v="215681136596122562_1"/>
    <x v="1"/>
    <x v="0"/>
    <n v="406.66666670000001"/>
    <s v="BIHAR"/>
    <x v="0"/>
    <n v="1"/>
    <x v="10"/>
    <n v="0"/>
    <n v="0"/>
    <n v="20.333333335000003"/>
    <n v="427.00000003500003"/>
  </r>
  <r>
    <x v="0"/>
    <s v="2025-10-24"/>
    <s v="213239270947817408_1"/>
    <x v="0"/>
    <x v="0"/>
    <n v="300.952381"/>
    <s v="KARNATAKA"/>
    <x v="0"/>
    <n v="1"/>
    <x v="11"/>
    <n v="0"/>
    <n v="0"/>
    <n v="15.047619050000002"/>
    <n v="316.00000004999998"/>
  </r>
  <r>
    <x v="0"/>
    <s v="2025-10-31"/>
    <s v="215724414468846976_1"/>
    <x v="0"/>
    <x v="0"/>
    <n v="362.85714289999999"/>
    <s v="TAMIL NADU"/>
    <x v="0"/>
    <n v="1"/>
    <x v="0"/>
    <n v="0"/>
    <n v="0"/>
    <n v="18.142857145000001"/>
    <n v="381.00000004499998"/>
  </r>
  <r>
    <x v="0"/>
    <s v="2025-10-31"/>
    <s v="215681677576608704_1"/>
    <x v="1"/>
    <x v="0"/>
    <n v="420.952381"/>
    <s v="BIHAR"/>
    <x v="0"/>
    <n v="1"/>
    <x v="10"/>
    <n v="0"/>
    <n v="0"/>
    <n v="21.047619050000002"/>
    <n v="442.00000004999998"/>
  </r>
  <r>
    <x v="0"/>
    <s v="2025-10-28"/>
    <s v="214793307422913856_1"/>
    <x v="0"/>
    <x v="0"/>
    <n v="284.76190480000002"/>
    <s v="ANDHRA PRADESH"/>
    <x v="0"/>
    <n v="1"/>
    <x v="4"/>
    <n v="0"/>
    <n v="0"/>
    <n v="14.238095240000002"/>
    <n v="299.00000004000003"/>
  </r>
  <r>
    <x v="0"/>
    <s v="2025-10-27"/>
    <s v="214270780731688896_1"/>
    <x v="0"/>
    <x v="0"/>
    <n v="281.90476189999998"/>
    <s v="KERALA"/>
    <x v="0"/>
    <n v="1"/>
    <x v="3"/>
    <n v="0"/>
    <n v="0"/>
    <n v="14.095238094999999"/>
    <n v="295.999999995"/>
  </r>
  <r>
    <x v="0"/>
    <s v="2025-10-27"/>
    <s v="214334552870044288_1"/>
    <x v="0"/>
    <x v="0"/>
    <n v="363.80952380000002"/>
    <s v="KERALA"/>
    <x v="0"/>
    <n v="1"/>
    <x v="3"/>
    <n v="0"/>
    <n v="0"/>
    <n v="18.190476190000002"/>
    <n v="381.99999999000005"/>
  </r>
  <r>
    <x v="0"/>
    <s v="2025-10-26"/>
    <s v="214067237081874114_1"/>
    <x v="0"/>
    <x v="0"/>
    <n v="362.85714289999999"/>
    <s v="TAMIL NADU"/>
    <x v="0"/>
    <n v="1"/>
    <x v="0"/>
    <n v="0"/>
    <n v="0"/>
    <n v="18.142857145000001"/>
    <n v="381.00000004499998"/>
  </r>
  <r>
    <x v="0"/>
    <s v="2025-10-31"/>
    <s v="215620244244636160_1"/>
    <x v="1"/>
    <x v="0"/>
    <n v="440.952381"/>
    <s v="WEST BENGAL"/>
    <x v="0"/>
    <n v="1"/>
    <x v="12"/>
    <n v="11.023809525000001"/>
    <n v="11.023809525000001"/>
    <n v="0"/>
    <n v="463.00000004999998"/>
  </r>
  <r>
    <x v="0"/>
    <s v="2025-10-28"/>
    <s v="214774703414548802_1"/>
    <x v="0"/>
    <x v="0"/>
    <n v="342.85714289999999"/>
    <s v="KARNATAKA"/>
    <x v="0"/>
    <n v="1"/>
    <x v="11"/>
    <n v="0"/>
    <n v="0"/>
    <n v="17.142857145000001"/>
    <n v="360.00000004499998"/>
  </r>
  <r>
    <x v="0"/>
    <s v="2025-10-31"/>
    <s v="215675376180952000_1"/>
    <x v="1"/>
    <x v="0"/>
    <n v="455.23809519999998"/>
    <s v="TRIPURA"/>
    <x v="0"/>
    <n v="1"/>
    <x v="13"/>
    <n v="0"/>
    <n v="0"/>
    <n v="22.76190476"/>
    <n v="477.99999995999997"/>
  </r>
  <r>
    <x v="0"/>
    <s v="2025-10-25"/>
    <s v="213662166713716544_1"/>
    <x v="0"/>
    <x v="0"/>
    <n v="316.19047619999998"/>
    <s v="WEST BENGAL"/>
    <x v="0"/>
    <n v="1"/>
    <x v="12"/>
    <n v="7.904761905"/>
    <n v="7.904761905"/>
    <n v="0"/>
    <n v="332.00000000999995"/>
  </r>
  <r>
    <x v="0"/>
    <s v="2025-10-18"/>
    <s v="211004573153786368_1"/>
    <x v="0"/>
    <x v="0"/>
    <n v="299.047619"/>
    <s v="TAMIL NADU"/>
    <x v="0"/>
    <n v="1"/>
    <x v="0"/>
    <n v="0"/>
    <n v="0"/>
    <n v="14.95238095"/>
    <n v="313.99999995000002"/>
  </r>
  <r>
    <x v="0"/>
    <s v="2025-10-31"/>
    <s v="215703836236150144_1"/>
    <x v="0"/>
    <x v="0"/>
    <n v="324.76190480000002"/>
    <s v="MAHARASHTRA"/>
    <x v="0"/>
    <n v="1"/>
    <x v="2"/>
    <n v="0"/>
    <n v="0"/>
    <n v="16.238095240000003"/>
    <n v="341.00000004000003"/>
  </r>
  <r>
    <x v="0"/>
    <s v="2025-10-22"/>
    <s v="212545075002083264_1"/>
    <x v="0"/>
    <x v="0"/>
    <n v="380.952381"/>
    <s v="ANDHRA PRADESH"/>
    <x v="0"/>
    <n v="1"/>
    <x v="4"/>
    <n v="0"/>
    <n v="0"/>
    <n v="19.047619050000002"/>
    <n v="400.00000004999998"/>
  </r>
  <r>
    <x v="0"/>
    <s v="2025-10-26"/>
    <s v="213908405075707840_1"/>
    <x v="1"/>
    <x v="0"/>
    <n v="292.38095240000001"/>
    <s v="CHHATTISGARH"/>
    <x v="0"/>
    <n v="1"/>
    <x v="14"/>
    <n v="0"/>
    <n v="0"/>
    <n v="14.619047620000002"/>
    <n v="307.00000002000002"/>
  </r>
  <r>
    <x v="0"/>
    <s v="2025-10-27"/>
    <s v="214207252638397760_1"/>
    <x v="0"/>
    <x v="0"/>
    <n v="347.61904759999999"/>
    <s v="ODISHA"/>
    <x v="0"/>
    <n v="1"/>
    <x v="5"/>
    <n v="0"/>
    <n v="0"/>
    <n v="17.38095238"/>
    <n v="364.99999997999998"/>
  </r>
  <r>
    <x v="0"/>
    <s v="2025-10-24"/>
    <s v="213314098170984960_1"/>
    <x v="0"/>
    <x v="0"/>
    <n v="360.952381"/>
    <s v="KERALA"/>
    <x v="0"/>
    <n v="1"/>
    <x v="3"/>
    <n v="0"/>
    <n v="0"/>
    <n v="18.047619050000002"/>
    <n v="379.00000004999998"/>
  </r>
  <r>
    <x v="0"/>
    <s v="2025-10-30"/>
    <s v="215182102772293120_1"/>
    <x v="1"/>
    <x v="0"/>
    <n v="416.19047619999998"/>
    <s v="RAJASTHAN"/>
    <x v="0"/>
    <n v="1"/>
    <x v="15"/>
    <n v="0"/>
    <n v="0"/>
    <n v="20.809523810000002"/>
    <n v="437.00000001000001"/>
  </r>
  <r>
    <x v="0"/>
    <s v="2025-10-31"/>
    <s v="215724414468846976_1"/>
    <x v="0"/>
    <x v="0"/>
    <n v="-362.85714300000001"/>
    <s v="TAMIL NADU"/>
    <x v="1"/>
    <n v="-1"/>
    <x v="0"/>
    <n v="0"/>
    <n v="0"/>
    <n v="-18.142857150000001"/>
    <n v="-381.00000015000001"/>
  </r>
  <r>
    <x v="0"/>
    <s v="2025-10-15"/>
    <s v="209946414817507840_1"/>
    <x v="0"/>
    <x v="0"/>
    <n v="-303.80952400000001"/>
    <s v="TAMIL NADU"/>
    <x v="1"/>
    <n v="-1"/>
    <x v="0"/>
    <n v="0"/>
    <n v="0"/>
    <n v="-15.190476200000001"/>
    <n v="-319.00000019999999"/>
  </r>
  <r>
    <x v="0"/>
    <s v="2025-10-23"/>
    <s v="212882143294190912_1"/>
    <x v="0"/>
    <x v="0"/>
    <n v="-352.38095199999998"/>
    <s v="KERALA"/>
    <x v="1"/>
    <n v="-1"/>
    <x v="3"/>
    <n v="0"/>
    <n v="0"/>
    <n v="-17.619047599999998"/>
    <n v="-369.99999959999997"/>
  </r>
  <r>
    <x v="1"/>
    <m/>
    <m/>
    <x v="2"/>
    <x v="1"/>
    <m/>
    <m/>
    <x v="2"/>
    <m/>
    <x v="16"/>
    <m/>
    <m/>
    <m/>
    <m/>
  </r>
  <r>
    <x v="1"/>
    <m/>
    <m/>
    <x v="2"/>
    <x v="1"/>
    <m/>
    <m/>
    <x v="2"/>
    <m/>
    <x v="1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4:H8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6">
        <item m="1" x="10"/>
        <item x="0"/>
        <item m="1" x="7"/>
        <item m="1" x="4"/>
        <item m="1" x="3"/>
        <item x="1"/>
        <item m="1" x="13"/>
        <item m="1" x="9"/>
        <item m="1" x="12"/>
        <item m="1" x="6"/>
        <item m="1" x="8"/>
        <item m="1" x="11"/>
        <item m="1" x="15"/>
        <item m="1" x="14"/>
        <item m="1" x="5"/>
        <item h="1" x="2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2">
    <field x="3"/>
    <field x="4"/>
  </rowFields>
  <rowItems count="3">
    <i>
      <x v="1"/>
      <x/>
    </i>
    <i>
      <x v="5"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QTY" fld="8" baseField="0" baseItem="0"/>
    <dataField name="Sum of TOTAL" fld="13" baseField="0" baseItem="0"/>
    <dataField name="Sum of tcs_taxable_amount" fld="5" baseField="0" baseItem="0" numFmtId="164"/>
    <dataField name="Sum of IGST" fld="12" baseField="0" baseItem="0" numFmtId="164"/>
    <dataField name="Sum of SGST" fld="11" baseField="0" baseItem="0" numFmtId="164"/>
    <dataField name="Sum of CGST" fld="10" baseField="0" baseItem="0" numFmtId="164"/>
  </dataFields>
  <formats count="23">
    <format dxfId="71">
      <pivotArea outline="0" collapsedLevelsAreSubtotals="1" fieldPosition="0">
        <references count="1">
          <reference field="4294967294" count="4" selected="0">
            <x v="2"/>
            <x v="3"/>
            <x v="4"/>
            <x v="5"/>
          </reference>
        </references>
      </pivotArea>
    </format>
    <format dxfId="70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69">
      <pivotArea outline="0" collapsedLevelsAreSubtotals="1" fieldPosition="0"/>
    </format>
    <format dxfId="68">
      <pivotArea field="3" type="button" dataOnly="0" labelOnly="1" outline="0" axis="axisRow" fieldPosition="0"/>
    </format>
    <format dxfId="67">
      <pivotArea field="4" type="button" dataOnly="0" labelOnly="1" outline="0" axis="axisRow" fieldPosition="1"/>
    </format>
    <format dxfId="66">
      <pivotArea dataOnly="0" labelOnly="1" outline="0" fieldPosition="0">
        <references count="1">
          <reference field="3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2">
          <reference field="3" count="1" selected="0">
            <x v="0"/>
          </reference>
          <reference field="4" count="1">
            <x v="0"/>
          </reference>
        </references>
      </pivotArea>
    </format>
    <format dxfId="63">
      <pivotArea dataOnly="0" labelOnly="1" outline="0" fieldPosition="0">
        <references count="2">
          <reference field="3" count="1" selected="0">
            <x v="1"/>
          </reference>
          <reference field="4" count="1">
            <x v="0"/>
          </reference>
        </references>
      </pivotArea>
    </format>
    <format dxfId="62">
      <pivotArea dataOnly="0" labelOnly="1" outline="0" fieldPosition="0">
        <references count="2">
          <reference field="3" count="1" selected="0">
            <x v="2"/>
          </reference>
          <reference field="4" count="1">
            <x v="0"/>
          </reference>
        </references>
      </pivotArea>
    </format>
    <format dxfId="61">
      <pivotArea dataOnly="0" labelOnly="1" outline="0" fieldPosition="0">
        <references count="2">
          <reference field="3" count="1" selected="0">
            <x v="3"/>
          </reference>
          <reference field="4" count="1">
            <x v="0"/>
          </reference>
        </references>
      </pivotArea>
    </format>
    <format dxfId="60">
      <pivotArea dataOnly="0" labelOnly="1" outline="0" fieldPosition="0">
        <references count="2">
          <reference field="3" count="1" selected="0">
            <x v="4"/>
          </reference>
          <reference field="4" count="1">
            <x v="0"/>
          </reference>
        </references>
      </pivotArea>
    </format>
    <format dxfId="59">
      <pivotArea dataOnly="0" labelOnly="1" outline="0" fieldPosition="0">
        <references count="2">
          <reference field="3" count="1" selected="0">
            <x v="5"/>
          </reference>
          <reference field="4" count="1">
            <x v="0"/>
          </reference>
        </references>
      </pivotArea>
    </format>
    <format dxfId="58">
      <pivotArea dataOnly="0" labelOnly="1" outline="0" fieldPosition="0">
        <references count="2">
          <reference field="3" count="1" selected="0">
            <x v="6"/>
          </reference>
          <reference field="4" count="1">
            <x v="0"/>
          </reference>
        </references>
      </pivotArea>
    </format>
    <format dxfId="57">
      <pivotArea dataOnly="0" labelOnly="1" outline="0" fieldPosition="0">
        <references count="2">
          <reference field="3" count="1" selected="0">
            <x v="7"/>
          </reference>
          <reference field="4" count="1">
            <x v="0"/>
          </reference>
        </references>
      </pivotArea>
    </format>
    <format dxfId="56">
      <pivotArea dataOnly="0" labelOnly="1" outline="0" fieldPosition="0">
        <references count="2">
          <reference field="3" count="1" selected="0">
            <x v="8"/>
          </reference>
          <reference field="4" count="1">
            <x v="0"/>
          </reference>
        </references>
      </pivotArea>
    </format>
    <format dxfId="55">
      <pivotArea dataOnly="0" labelOnly="1" outline="0" fieldPosition="0">
        <references count="2">
          <reference field="3" count="1" selected="0">
            <x v="9"/>
          </reference>
          <reference field="4" count="1">
            <x v="0"/>
          </reference>
        </references>
      </pivotArea>
    </format>
    <format dxfId="54">
      <pivotArea dataOnly="0" labelOnly="1" outline="0" fieldPosition="0">
        <references count="2">
          <reference field="3" count="1" selected="0">
            <x v="10"/>
          </reference>
          <reference field="4" count="1">
            <x v="0"/>
          </reference>
        </references>
      </pivotArea>
    </format>
    <format dxfId="53">
      <pivotArea dataOnly="0" labelOnly="1" outline="0" fieldPosition="0">
        <references count="2">
          <reference field="3" count="1" selected="0">
            <x v="11"/>
          </reference>
          <reference field="4" count="1">
            <x v="0"/>
          </reference>
        </references>
      </pivotArea>
    </format>
    <format dxfId="52">
      <pivotArea dataOnly="0" labelOnly="1" outline="0" fieldPosition="0">
        <references count="2">
          <reference field="3" count="1" selected="0">
            <x v="12"/>
          </reference>
          <reference field="4" count="1">
            <x v="0"/>
          </reference>
        </references>
      </pivotArea>
    </format>
    <format dxfId="51">
      <pivotArea dataOnly="0" labelOnly="1" outline="0" fieldPosition="0">
        <references count="2">
          <reference field="3" count="1" selected="0">
            <x v="13"/>
          </reference>
          <reference field="4" count="1">
            <x v="0"/>
          </reference>
        </references>
      </pivotArea>
    </format>
    <format dxfId="50">
      <pivotArea dataOnly="0" labelOnly="1" outline="0" fieldPosition="0">
        <references count="2">
          <reference field="3" count="1" selected="0">
            <x v="14"/>
          </reference>
          <reference field="4" count="1">
            <x v="0"/>
          </reference>
        </references>
      </pivotArea>
    </format>
    <format dxfId="4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4:E22" firstHeaderRow="1" firstDataRow="2" firstDataCol="1" rowPageCount="2" colPageCount="1"/>
  <pivotFields count="14">
    <pivotField axis="axisPage" compact="0" outline="0" showAll="0">
      <items count="4">
        <item m="1"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5">
        <item x="0"/>
        <item h="1" x="2"/>
        <item x="1"/>
        <item m="1" x="3"/>
        <item t="default"/>
      </items>
    </pivotField>
    <pivotField compact="0" outline="0" showAll="0"/>
    <pivotField axis="axisRow" compact="0" outline="0" showAll="0">
      <items count="37">
        <item m="1" x="22"/>
        <item m="1" x="27"/>
        <item m="1" x="24"/>
        <item m="1" x="26"/>
        <item m="1" x="17"/>
        <item m="1" x="19"/>
        <item m="1" x="25"/>
        <item x="15"/>
        <item x="6"/>
        <item x="10"/>
        <item m="1" x="29"/>
        <item m="1" x="21"/>
        <item m="1" x="31"/>
        <item m="1" x="23"/>
        <item m="1" x="33"/>
        <item x="13"/>
        <item m="1" x="20"/>
        <item x="7"/>
        <item x="12"/>
        <item m="1" x="18"/>
        <item x="5"/>
        <item x="14"/>
        <item x="8"/>
        <item x="1"/>
        <item m="1" x="34"/>
        <item x="2"/>
        <item x="11"/>
        <item m="1" x="28"/>
        <item x="3"/>
        <item x="0"/>
        <item m="1" x="30"/>
        <item m="1" x="32"/>
        <item x="9"/>
        <item x="4"/>
        <item m="1" x="35"/>
        <item x="16"/>
        <item t="default"/>
      </items>
    </pivotField>
    <pivotField dataField="1" compact="0" numFmtId="1" outline="0" showAll="0"/>
    <pivotField dataField="1" compact="0" numFmtId="1" outline="0" showAll="0"/>
    <pivotField dataField="1" compact="0" numFmtId="1" outline="0" showAll="0"/>
    <pivotField compact="0" outline="0" showAll="0"/>
  </pivotFields>
  <rowFields count="1">
    <field x="9"/>
  </rowFields>
  <rowItems count="17">
    <i>
      <x v="7"/>
    </i>
    <i>
      <x v="8"/>
    </i>
    <i>
      <x v="9"/>
    </i>
    <i>
      <x v="15"/>
    </i>
    <i>
      <x v="17"/>
    </i>
    <i>
      <x v="18"/>
    </i>
    <i>
      <x v="20"/>
    </i>
    <i>
      <x v="21"/>
    </i>
    <i>
      <x v="22"/>
    </i>
    <i>
      <x v="23"/>
    </i>
    <i>
      <x v="25"/>
    </i>
    <i>
      <x v="26"/>
    </i>
    <i>
      <x v="28"/>
    </i>
    <i>
      <x v="29"/>
    </i>
    <i>
      <x v="32"/>
    </i>
    <i>
      <x v="3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7" hier="-1"/>
  </pageFields>
  <dataFields count="4">
    <dataField name="Sum of tcs_taxable_amount" fld="5" baseField="0" baseItem="0" numFmtId="1"/>
    <dataField name="Sum of IGST" fld="12" baseField="0" baseItem="0" numFmtId="1"/>
    <dataField name="Sum of SGST" fld="11" baseField="0" baseItem="0"/>
    <dataField name="Sum of CGST" fld="10" baseField="0" baseItem="0"/>
  </dataFields>
  <formats count="49"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fieldPosition="0">
        <references count="1">
          <reference field="9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-2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9" type="button" dataOnly="0" labelOnly="1" outline="0" axis="axisRow" fieldPosition="0"/>
    </format>
    <format dxfId="37">
      <pivotArea dataOnly="0" labelOnly="1" outline="0" fieldPosition="0">
        <references count="1">
          <reference field="9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4">
      <pivotArea type="origin" dataOnly="0" labelOnly="1" outline="0" fieldPosition="0"/>
    </format>
    <format dxfId="33">
      <pivotArea field="-2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9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">
      <pivotArea type="origin" dataOnly="0" labelOnly="1" outline="0" fieldPosition="0"/>
    </format>
    <format dxfId="28">
      <pivotArea field="-2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9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">
      <pivotArea type="origin" dataOnly="0" labelOnly="1" outline="0" fieldPosition="0"/>
    </format>
    <format dxfId="23">
      <pivotArea field="-2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9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">
      <pivotArea type="origin" dataOnly="0" labelOnly="1" outline="0" fieldPosition="0"/>
    </format>
    <format dxfId="18">
      <pivotArea field="-2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9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">
      <pivotArea type="origin" dataOnly="0" labelOnly="1" outline="0" fieldPosition="0"/>
    </format>
    <format dxfId="13">
      <pivotArea field="-2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9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">
      <pivotArea type="origin" dataOnly="0" labelOnly="1" outline="0" fieldPosition="0"/>
    </format>
    <format dxfId="8">
      <pivotArea field="-2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9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">
      <pivotArea type="origin" dataOnly="0" labelOnly="1" outline="0" fieldPosition="0"/>
    </format>
    <format dxfId="3">
      <pivotArea field="-2" type="button" dataOnly="0" labelOnly="1" outline="0" axis="axisCol" fieldPosition="0"/>
    </format>
    <format dxfId="2">
      <pivotArea type="topRight" dataOnly="0" labelOnly="1" outline="0" fieldPosition="0"/>
    </format>
    <format dxfId="1">
      <pivotArea field="9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26" Type="http://schemas.openxmlformats.org/officeDocument/2006/relationships/control" Target="../activeX/activeX22.xml"/><Relationship Id="rId3" Type="http://schemas.openxmlformats.org/officeDocument/2006/relationships/control" Target="../activeX/activeX1.xml"/><Relationship Id="rId21" Type="http://schemas.openxmlformats.org/officeDocument/2006/relationships/control" Target="../activeX/activeX17.xml"/><Relationship Id="rId34" Type="http://schemas.openxmlformats.org/officeDocument/2006/relationships/control" Target="../activeX/activeX30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5" Type="http://schemas.openxmlformats.org/officeDocument/2006/relationships/control" Target="../activeX/activeX21.xml"/><Relationship Id="rId33" Type="http://schemas.openxmlformats.org/officeDocument/2006/relationships/control" Target="../activeX/activeX29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2.xml"/><Relationship Id="rId20" Type="http://schemas.openxmlformats.org/officeDocument/2006/relationships/control" Target="../activeX/activeX16.xml"/><Relationship Id="rId29" Type="http://schemas.openxmlformats.org/officeDocument/2006/relationships/control" Target="../activeX/activeX25.x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control" Target="../activeX/activeX7.xml"/><Relationship Id="rId24" Type="http://schemas.openxmlformats.org/officeDocument/2006/relationships/control" Target="../activeX/activeX20.xml"/><Relationship Id="rId32" Type="http://schemas.openxmlformats.org/officeDocument/2006/relationships/control" Target="../activeX/activeX28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1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10" Type="http://schemas.openxmlformats.org/officeDocument/2006/relationships/control" Target="../activeX/activeX6.xml"/><Relationship Id="rId19" Type="http://schemas.openxmlformats.org/officeDocument/2006/relationships/control" Target="../activeX/activeX15.xml"/><Relationship Id="rId31" Type="http://schemas.openxmlformats.org/officeDocument/2006/relationships/control" Target="../activeX/activeX27.xml"/><Relationship Id="rId4" Type="http://schemas.openxmlformats.org/officeDocument/2006/relationships/image" Target="../media/image1.emf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30" Type="http://schemas.openxmlformats.org/officeDocument/2006/relationships/control" Target="../activeX/activeX26.xml"/><Relationship Id="rId8" Type="http://schemas.openxmlformats.org/officeDocument/2006/relationships/control" Target="../activeX/activeX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3.xml"/><Relationship Id="rId3" Type="http://schemas.openxmlformats.org/officeDocument/2006/relationships/drawing" Target="../drawings/drawing2.xml"/><Relationship Id="rId7" Type="http://schemas.openxmlformats.org/officeDocument/2006/relationships/control" Target="../activeX/activeX3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6" Type="http://schemas.openxmlformats.org/officeDocument/2006/relationships/image" Target="../media/image3.emf"/><Relationship Id="rId5" Type="http://schemas.openxmlformats.org/officeDocument/2006/relationships/control" Target="../activeX/activeX31.xml"/><Relationship Id="rId10" Type="http://schemas.openxmlformats.org/officeDocument/2006/relationships/image" Target="../media/image4.emf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3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8"/>
  <sheetViews>
    <sheetView showGridLines="0" zoomScale="85" zoomScaleNormal="85" workbookViewId="0">
      <selection activeCell="E8" sqref="E8"/>
    </sheetView>
  </sheetViews>
  <sheetFormatPr defaultRowHeight="14.4" x14ac:dyDescent="0.3"/>
  <cols>
    <col min="1" max="1" width="13.44140625" customWidth="1"/>
    <col min="2" max="2" width="10.6640625" style="4" customWidth="1"/>
    <col min="3" max="3" width="11.109375" bestFit="1" customWidth="1"/>
    <col min="4" max="4" width="13.33203125" style="6" bestFit="1" customWidth="1"/>
    <col min="5" max="5" width="26.88671875" style="6" bestFit="1" customWidth="1"/>
    <col min="6" max="6" width="12.44140625" style="6" bestFit="1" customWidth="1"/>
    <col min="7" max="7" width="12.88671875" style="6" bestFit="1" customWidth="1"/>
    <col min="8" max="8" width="13.109375" bestFit="1" customWidth="1"/>
    <col min="9" max="9" width="16.5546875" bestFit="1" customWidth="1"/>
    <col min="10" max="10" width="17" bestFit="1" customWidth="1"/>
    <col min="11" max="11" width="17.33203125" bestFit="1" customWidth="1"/>
  </cols>
  <sheetData>
    <row r="2" spans="1:8" x14ac:dyDescent="0.3">
      <c r="B2"/>
    </row>
    <row r="4" spans="1:8" x14ac:dyDescent="0.3">
      <c r="B4"/>
      <c r="C4" s="3" t="s">
        <v>127</v>
      </c>
      <c r="D4"/>
      <c r="E4"/>
      <c r="F4"/>
      <c r="G4"/>
    </row>
    <row r="5" spans="1:8" x14ac:dyDescent="0.3">
      <c r="A5" s="36" t="s">
        <v>3</v>
      </c>
      <c r="B5" s="36" t="s">
        <v>4</v>
      </c>
      <c r="C5" s="8" t="s">
        <v>151</v>
      </c>
      <c r="D5" s="8" t="s">
        <v>131</v>
      </c>
      <c r="E5" s="37" t="s">
        <v>97</v>
      </c>
      <c r="F5" s="37" t="s">
        <v>128</v>
      </c>
      <c r="G5" s="37" t="s">
        <v>130</v>
      </c>
      <c r="H5" s="37" t="s">
        <v>129</v>
      </c>
    </row>
    <row r="6" spans="1:8" x14ac:dyDescent="0.3">
      <c r="A6" s="8">
        <v>6111</v>
      </c>
      <c r="B6" s="8">
        <v>5</v>
      </c>
      <c r="C6" s="8">
        <v>21</v>
      </c>
      <c r="D6" s="8">
        <v>7176.0000003300011</v>
      </c>
      <c r="E6" s="37">
        <v>6834.2857146000006</v>
      </c>
      <c r="F6" s="37">
        <v>325.90476192000006</v>
      </c>
      <c r="G6" s="37">
        <v>7.904761905</v>
      </c>
      <c r="H6" s="37">
        <v>7.904761905</v>
      </c>
    </row>
    <row r="7" spans="1:8" x14ac:dyDescent="0.3">
      <c r="A7" s="8">
        <v>611120</v>
      </c>
      <c r="B7" s="8">
        <v>5</v>
      </c>
      <c r="C7" s="8">
        <v>9</v>
      </c>
      <c r="D7" s="8">
        <v>3931.0000000949995</v>
      </c>
      <c r="E7" s="37">
        <v>3743.8095238999995</v>
      </c>
      <c r="F7" s="37">
        <v>165.14285714499999</v>
      </c>
      <c r="G7" s="37">
        <v>11.023809525000001</v>
      </c>
      <c r="H7" s="37">
        <v>11.023809525000001</v>
      </c>
    </row>
    <row r="8" spans="1:8" x14ac:dyDescent="0.3">
      <c r="A8" s="8" t="s">
        <v>98</v>
      </c>
      <c r="B8" s="8"/>
      <c r="C8" s="8">
        <v>30</v>
      </c>
      <c r="D8" s="8">
        <v>11107.000000425</v>
      </c>
      <c r="E8" s="37">
        <v>10578.0952385</v>
      </c>
      <c r="F8" s="37">
        <v>491.04761906500005</v>
      </c>
      <c r="G8" s="37">
        <v>18.928571430000002</v>
      </c>
      <c r="H8" s="37">
        <v>18.928571430000002</v>
      </c>
    </row>
    <row r="9" spans="1:8" x14ac:dyDescent="0.3">
      <c r="B9"/>
      <c r="D9"/>
      <c r="E9"/>
      <c r="F9"/>
      <c r="G9"/>
    </row>
    <row r="10" spans="1:8" x14ac:dyDescent="0.3">
      <c r="B10"/>
      <c r="D10"/>
      <c r="E10"/>
      <c r="F10"/>
      <c r="G10"/>
    </row>
    <row r="11" spans="1:8" x14ac:dyDescent="0.3">
      <c r="B11"/>
      <c r="D11"/>
      <c r="E11"/>
      <c r="F11"/>
      <c r="G11"/>
    </row>
    <row r="12" spans="1:8" x14ac:dyDescent="0.3">
      <c r="B12"/>
      <c r="D12"/>
      <c r="E12"/>
      <c r="F12"/>
      <c r="G12"/>
    </row>
    <row r="13" spans="1:8" x14ac:dyDescent="0.3">
      <c r="B13"/>
      <c r="D13"/>
      <c r="E13"/>
      <c r="F13"/>
      <c r="G13"/>
    </row>
    <row r="14" spans="1:8" x14ac:dyDescent="0.3">
      <c r="B14"/>
      <c r="D14"/>
      <c r="E14"/>
      <c r="F14"/>
      <c r="G14"/>
    </row>
    <row r="15" spans="1:8" x14ac:dyDescent="0.3">
      <c r="B15"/>
      <c r="D15"/>
      <c r="E15"/>
      <c r="F15"/>
      <c r="G15"/>
    </row>
    <row r="16" spans="1:8" x14ac:dyDescent="0.3">
      <c r="B16"/>
      <c r="D16"/>
      <c r="E16"/>
      <c r="F16"/>
      <c r="G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6CA3-4C76-4683-9C0D-AF1804BA9AC4}">
  <sheetPr codeName="Sheet2"/>
  <dimension ref="A1:K18"/>
  <sheetViews>
    <sheetView workbookViewId="0">
      <selection activeCell="D18" sqref="D18"/>
    </sheetView>
  </sheetViews>
  <sheetFormatPr defaultRowHeight="14.4" x14ac:dyDescent="0.3"/>
  <cols>
    <col min="1" max="1" width="23.5546875" bestFit="1" customWidth="1"/>
    <col min="2" max="2" width="48.33203125" bestFit="1" customWidth="1"/>
    <col min="3" max="3" width="8.88671875" bestFit="1" customWidth="1"/>
    <col min="4" max="4" width="11.33203125" bestFit="1" customWidth="1"/>
    <col min="5" max="5" width="9.88671875" bestFit="1" customWidth="1"/>
    <col min="6" max="6" width="11.33203125" bestFit="1" customWidth="1"/>
    <col min="7" max="7" width="7" bestFit="1" customWidth="1"/>
    <col min="8" max="9" width="5.5546875" bestFit="1" customWidth="1"/>
    <col min="10" max="10" width="21.6640625" bestFit="1" customWidth="1"/>
    <col min="11" max="11" width="19" bestFit="1" customWidth="1"/>
  </cols>
  <sheetData>
    <row r="1" spans="1:11" ht="15" thickBot="1" x14ac:dyDescent="0.35"/>
    <row r="2" spans="1:11" ht="15" thickBot="1" x14ac:dyDescent="0.35">
      <c r="A2" s="47" t="s">
        <v>204</v>
      </c>
      <c r="B2" s="47" t="s">
        <v>205</v>
      </c>
      <c r="C2" s="48">
        <v>45931</v>
      </c>
      <c r="D2" s="49">
        <v>455.24</v>
      </c>
      <c r="E2" s="49">
        <v>0</v>
      </c>
      <c r="F2" s="49">
        <v>455.24</v>
      </c>
      <c r="G2" s="49">
        <v>2.2799999999999998</v>
      </c>
      <c r="H2" s="49">
        <v>0</v>
      </c>
      <c r="I2" s="49">
        <v>0</v>
      </c>
      <c r="J2" s="49" t="s">
        <v>206</v>
      </c>
      <c r="K2" s="47" t="s">
        <v>32</v>
      </c>
    </row>
    <row r="3" spans="1:11" ht="15" thickBot="1" x14ac:dyDescent="0.35">
      <c r="A3" s="47" t="s">
        <v>204</v>
      </c>
      <c r="B3" s="47" t="s">
        <v>205</v>
      </c>
      <c r="C3" s="48">
        <v>45931</v>
      </c>
      <c r="D3" s="49">
        <v>950.48</v>
      </c>
      <c r="E3" s="49">
        <v>0</v>
      </c>
      <c r="F3" s="49">
        <v>950.48</v>
      </c>
      <c r="G3" s="49">
        <v>4.75</v>
      </c>
      <c r="H3" s="49">
        <v>0</v>
      </c>
      <c r="I3" s="49">
        <v>0</v>
      </c>
      <c r="J3" s="49" t="s">
        <v>206</v>
      </c>
      <c r="K3" s="47" t="s">
        <v>31</v>
      </c>
    </row>
    <row r="4" spans="1:11" ht="15" thickBot="1" x14ac:dyDescent="0.35">
      <c r="A4" s="47" t="s">
        <v>204</v>
      </c>
      <c r="B4" s="47" t="s">
        <v>205</v>
      </c>
      <c r="C4" s="48">
        <v>45931</v>
      </c>
      <c r="D4" s="49">
        <v>295.24</v>
      </c>
      <c r="E4" s="49">
        <v>0</v>
      </c>
      <c r="F4" s="49">
        <v>295.24</v>
      </c>
      <c r="G4" s="49">
        <v>1.48</v>
      </c>
      <c r="H4" s="49">
        <v>0</v>
      </c>
      <c r="I4" s="49">
        <v>0</v>
      </c>
      <c r="J4" s="49" t="s">
        <v>206</v>
      </c>
      <c r="K4" s="47" t="s">
        <v>29</v>
      </c>
    </row>
    <row r="5" spans="1:11" ht="15" thickBot="1" x14ac:dyDescent="0.35">
      <c r="A5" s="47" t="s">
        <v>204</v>
      </c>
      <c r="B5" s="47" t="s">
        <v>205</v>
      </c>
      <c r="C5" s="48">
        <v>45931</v>
      </c>
      <c r="D5" s="49">
        <v>931.43</v>
      </c>
      <c r="E5" s="49">
        <v>0</v>
      </c>
      <c r="F5" s="49">
        <v>931.43</v>
      </c>
      <c r="G5" s="49">
        <v>4.66</v>
      </c>
      <c r="H5" s="49">
        <v>0</v>
      </c>
      <c r="I5" s="49">
        <v>0</v>
      </c>
      <c r="J5" s="49" t="s">
        <v>206</v>
      </c>
      <c r="K5" s="47" t="s">
        <v>25</v>
      </c>
    </row>
    <row r="6" spans="1:11" ht="15" thickBot="1" x14ac:dyDescent="0.35">
      <c r="A6" s="47" t="s">
        <v>204</v>
      </c>
      <c r="B6" s="47" t="s">
        <v>205</v>
      </c>
      <c r="C6" s="48">
        <v>45931</v>
      </c>
      <c r="D6" s="49">
        <v>432.38</v>
      </c>
      <c r="E6" s="49">
        <v>0</v>
      </c>
      <c r="F6" s="49">
        <v>432.38</v>
      </c>
      <c r="G6" s="49">
        <v>2.16</v>
      </c>
      <c r="H6" s="49">
        <v>0</v>
      </c>
      <c r="I6" s="49">
        <v>0</v>
      </c>
      <c r="J6" s="49" t="s">
        <v>206</v>
      </c>
      <c r="K6" s="47" t="s">
        <v>19</v>
      </c>
    </row>
    <row r="7" spans="1:11" ht="15" thickBot="1" x14ac:dyDescent="0.35">
      <c r="A7" s="47" t="s">
        <v>204</v>
      </c>
      <c r="B7" s="47" t="s">
        <v>205</v>
      </c>
      <c r="C7" s="48">
        <v>45931</v>
      </c>
      <c r="D7" s="49">
        <v>320.95</v>
      </c>
      <c r="E7" s="49">
        <v>0</v>
      </c>
      <c r="F7" s="49">
        <v>320.95</v>
      </c>
      <c r="G7" s="49">
        <v>1.6</v>
      </c>
      <c r="H7" s="49">
        <v>0</v>
      </c>
      <c r="I7" s="49">
        <v>0</v>
      </c>
      <c r="J7" s="49" t="s">
        <v>206</v>
      </c>
      <c r="K7" s="47" t="s">
        <v>22</v>
      </c>
    </row>
    <row r="8" spans="1:11" ht="15" thickBot="1" x14ac:dyDescent="0.35">
      <c r="A8" s="47" t="s">
        <v>204</v>
      </c>
      <c r="B8" s="47" t="s">
        <v>205</v>
      </c>
      <c r="C8" s="48">
        <v>45931</v>
      </c>
      <c r="D8" s="49">
        <v>643.80999999999995</v>
      </c>
      <c r="E8" s="49">
        <v>0</v>
      </c>
      <c r="F8" s="49">
        <v>643.80999999999995</v>
      </c>
      <c r="G8" s="49">
        <v>3.22</v>
      </c>
      <c r="H8" s="49">
        <v>0</v>
      </c>
      <c r="I8" s="49">
        <v>0</v>
      </c>
      <c r="J8" s="49" t="s">
        <v>206</v>
      </c>
      <c r="K8" s="47" t="s">
        <v>20</v>
      </c>
    </row>
    <row r="9" spans="1:11" ht="15" thickBot="1" x14ac:dyDescent="0.35">
      <c r="A9" s="47" t="s">
        <v>204</v>
      </c>
      <c r="B9" s="47" t="s">
        <v>205</v>
      </c>
      <c r="C9" s="48">
        <v>45931</v>
      </c>
      <c r="D9" s="49">
        <v>416.19</v>
      </c>
      <c r="E9" s="49">
        <v>0</v>
      </c>
      <c r="F9" s="49">
        <v>416.19</v>
      </c>
      <c r="G9" s="49">
        <v>2.08</v>
      </c>
      <c r="H9" s="49">
        <v>0</v>
      </c>
      <c r="I9" s="49">
        <v>0</v>
      </c>
      <c r="J9" s="49" t="s">
        <v>206</v>
      </c>
      <c r="K9" s="47" t="s">
        <v>28</v>
      </c>
    </row>
    <row r="10" spans="1:11" ht="15" thickBot="1" x14ac:dyDescent="0.35">
      <c r="A10" s="47" t="s">
        <v>204</v>
      </c>
      <c r="B10" s="47" t="s">
        <v>205</v>
      </c>
      <c r="C10" s="48">
        <v>45931</v>
      </c>
      <c r="D10" s="49">
        <v>757.14</v>
      </c>
      <c r="E10" s="49">
        <v>0</v>
      </c>
      <c r="F10" s="49">
        <v>757.14</v>
      </c>
      <c r="G10" s="49">
        <v>0</v>
      </c>
      <c r="H10" s="49">
        <v>1.9</v>
      </c>
      <c r="I10" s="49">
        <v>1.9</v>
      </c>
      <c r="J10" s="49" t="s">
        <v>206</v>
      </c>
      <c r="K10" s="47" t="s">
        <v>15</v>
      </c>
    </row>
    <row r="11" spans="1:11" ht="15" thickBot="1" x14ac:dyDescent="0.35">
      <c r="A11" s="47" t="s">
        <v>204</v>
      </c>
      <c r="B11" s="47" t="s">
        <v>205</v>
      </c>
      <c r="C11" s="48">
        <v>45931</v>
      </c>
      <c r="D11" s="49">
        <v>433.33</v>
      </c>
      <c r="E11" s="49">
        <v>0</v>
      </c>
      <c r="F11" s="49">
        <v>433.33</v>
      </c>
      <c r="G11" s="49">
        <v>2.17</v>
      </c>
      <c r="H11" s="49">
        <v>0</v>
      </c>
      <c r="I11" s="49">
        <v>0</v>
      </c>
      <c r="J11" s="49" t="s">
        <v>206</v>
      </c>
      <c r="K11" s="47" t="s">
        <v>30</v>
      </c>
    </row>
    <row r="12" spans="1:11" ht="15" thickBot="1" x14ac:dyDescent="0.35">
      <c r="A12" s="47" t="s">
        <v>204</v>
      </c>
      <c r="B12" s="47" t="s">
        <v>205</v>
      </c>
      <c r="C12" s="48">
        <v>45931</v>
      </c>
      <c r="D12" s="49">
        <v>445.71</v>
      </c>
      <c r="E12" s="49">
        <v>0</v>
      </c>
      <c r="F12" s="49">
        <v>445.71</v>
      </c>
      <c r="G12" s="49">
        <v>2.23</v>
      </c>
      <c r="H12" s="49">
        <v>0</v>
      </c>
      <c r="I12" s="49">
        <v>0</v>
      </c>
      <c r="J12" s="49" t="s">
        <v>206</v>
      </c>
      <c r="K12" s="47" t="s">
        <v>35</v>
      </c>
    </row>
    <row r="13" spans="1:11" ht="15" thickBot="1" x14ac:dyDescent="0.35">
      <c r="A13" s="47" t="s">
        <v>204</v>
      </c>
      <c r="B13" s="47" t="s">
        <v>205</v>
      </c>
      <c r="C13" s="48">
        <v>45931</v>
      </c>
      <c r="D13" s="49">
        <v>827.62</v>
      </c>
      <c r="E13" s="49">
        <v>0</v>
      </c>
      <c r="F13" s="49">
        <v>827.62</v>
      </c>
      <c r="G13" s="49">
        <v>4.1399999999999997</v>
      </c>
      <c r="H13" s="49">
        <v>0</v>
      </c>
      <c r="I13" s="49">
        <v>0</v>
      </c>
      <c r="J13" s="49" t="s">
        <v>206</v>
      </c>
      <c r="K13" s="47" t="s">
        <v>16</v>
      </c>
    </row>
    <row r="14" spans="1:11" ht="15" thickBot="1" x14ac:dyDescent="0.35">
      <c r="A14" s="47" t="s">
        <v>204</v>
      </c>
      <c r="B14" s="47" t="s">
        <v>205</v>
      </c>
      <c r="C14" s="48">
        <v>45931</v>
      </c>
      <c r="D14" s="49">
        <v>633.33000000000004</v>
      </c>
      <c r="E14" s="49">
        <v>0</v>
      </c>
      <c r="F14" s="49">
        <v>633.33000000000004</v>
      </c>
      <c r="G14" s="49">
        <v>3.17</v>
      </c>
      <c r="H14" s="49">
        <v>0</v>
      </c>
      <c r="I14" s="49">
        <v>0</v>
      </c>
      <c r="J14" s="49" t="s">
        <v>206</v>
      </c>
      <c r="K14" s="47" t="s">
        <v>21</v>
      </c>
    </row>
    <row r="15" spans="1:11" ht="15" thickBot="1" x14ac:dyDescent="0.35">
      <c r="A15" s="47" t="s">
        <v>204</v>
      </c>
      <c r="B15" s="47" t="s">
        <v>205</v>
      </c>
      <c r="C15" s="48">
        <v>45931</v>
      </c>
      <c r="D15" s="50">
        <v>1733.33</v>
      </c>
      <c r="E15" s="49">
        <v>352.38</v>
      </c>
      <c r="F15" s="50">
        <v>1380.95</v>
      </c>
      <c r="G15" s="49">
        <v>6.9</v>
      </c>
      <c r="H15" s="49">
        <v>0</v>
      </c>
      <c r="I15" s="49">
        <v>0</v>
      </c>
      <c r="J15" s="49" t="s">
        <v>206</v>
      </c>
      <c r="K15" s="47" t="s">
        <v>17</v>
      </c>
    </row>
    <row r="16" spans="1:11" ht="15" thickBot="1" x14ac:dyDescent="0.35">
      <c r="A16" s="47" t="s">
        <v>204</v>
      </c>
      <c r="B16" s="47" t="s">
        <v>205</v>
      </c>
      <c r="C16" s="48">
        <v>45931</v>
      </c>
      <c r="D16" s="49">
        <v>292.38</v>
      </c>
      <c r="E16" s="49">
        <v>0</v>
      </c>
      <c r="F16" s="49">
        <v>292.38</v>
      </c>
      <c r="G16" s="49">
        <v>1.46</v>
      </c>
      <c r="H16" s="49">
        <v>0</v>
      </c>
      <c r="I16" s="49">
        <v>0</v>
      </c>
      <c r="J16" s="49" t="s">
        <v>206</v>
      </c>
      <c r="K16" s="47" t="s">
        <v>26</v>
      </c>
    </row>
    <row r="17" spans="1:11" ht="15" thickBot="1" x14ac:dyDescent="0.35">
      <c r="A17" s="47" t="s">
        <v>204</v>
      </c>
      <c r="B17" s="47" t="s">
        <v>205</v>
      </c>
      <c r="C17" s="48">
        <v>45931</v>
      </c>
      <c r="D17" s="50">
        <v>2028.57</v>
      </c>
      <c r="E17" s="49">
        <v>666.67</v>
      </c>
      <c r="F17" s="50">
        <v>1361.9</v>
      </c>
      <c r="G17" s="49">
        <v>6.81</v>
      </c>
      <c r="H17" s="49">
        <v>0</v>
      </c>
      <c r="I17" s="49">
        <v>0</v>
      </c>
      <c r="J17" s="49" t="s">
        <v>206</v>
      </c>
      <c r="K17" s="47" t="s">
        <v>18</v>
      </c>
    </row>
    <row r="18" spans="1:11" x14ac:dyDescent="0.3">
      <c r="D18">
        <f>SUM(D2:D17)</f>
        <v>11597.13</v>
      </c>
      <c r="E18">
        <f t="shared" ref="E18:I18" si="0">SUM(E2:E17)</f>
        <v>1019.05</v>
      </c>
      <c r="F18">
        <f t="shared" si="0"/>
        <v>10578.079999999998</v>
      </c>
      <c r="G18">
        <f t="shared" si="0"/>
        <v>49.11</v>
      </c>
      <c r="H18">
        <f t="shared" si="0"/>
        <v>1.9</v>
      </c>
      <c r="I18">
        <f t="shared" si="0"/>
        <v>1.9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Control 1">
          <controlPr defaultSize="0" r:id="rId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19</xdr:col>
                <xdr:colOff>137160</xdr:colOff>
                <xdr:row>2</xdr:row>
                <xdr:rowOff>38100</xdr:rowOff>
              </to>
            </anchor>
          </controlPr>
        </control>
      </mc:Choice>
      <mc:Fallback>
        <control shapeId="7169" r:id="rId3" name="Control 1"/>
      </mc:Fallback>
    </mc:AlternateContent>
    <mc:AlternateContent xmlns:mc="http://schemas.openxmlformats.org/markup-compatibility/2006">
      <mc:Choice Requires="x14">
        <control shapeId="7170" r:id="rId5" name="Control 2">
          <controlPr defaultSize="0" r:id="rId6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53340</xdr:rowOff>
              </to>
            </anchor>
          </controlPr>
        </control>
      </mc:Choice>
      <mc:Fallback>
        <control shapeId="7170" r:id="rId5" name="Control 2"/>
      </mc:Fallback>
    </mc:AlternateContent>
    <mc:AlternateContent xmlns:mc="http://schemas.openxmlformats.org/markup-compatibility/2006">
      <mc:Choice Requires="x14">
        <control shapeId="7171" r:id="rId7" name="Control 3">
          <controlPr defaultSize="0" r:id="rId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19</xdr:col>
                <xdr:colOff>137160</xdr:colOff>
                <xdr:row>3</xdr:row>
                <xdr:rowOff>38100</xdr:rowOff>
              </to>
            </anchor>
          </controlPr>
        </control>
      </mc:Choice>
      <mc:Fallback>
        <control shapeId="7171" r:id="rId7" name="Control 3"/>
      </mc:Fallback>
    </mc:AlternateContent>
    <mc:AlternateContent xmlns:mc="http://schemas.openxmlformats.org/markup-compatibility/2006">
      <mc:Choice Requires="x14">
        <control shapeId="7172" r:id="rId8" name="Control 4">
          <controlPr defaultSize="0" r:id="rId6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53340</xdr:rowOff>
              </to>
            </anchor>
          </controlPr>
        </control>
      </mc:Choice>
      <mc:Fallback>
        <control shapeId="7172" r:id="rId8" name="Control 4"/>
      </mc:Fallback>
    </mc:AlternateContent>
    <mc:AlternateContent xmlns:mc="http://schemas.openxmlformats.org/markup-compatibility/2006">
      <mc:Choice Requires="x14">
        <control shapeId="7173" r:id="rId9" name="Control 5">
          <controlPr defaultSize="0" r:id="rId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19</xdr:col>
                <xdr:colOff>137160</xdr:colOff>
                <xdr:row>4</xdr:row>
                <xdr:rowOff>38100</xdr:rowOff>
              </to>
            </anchor>
          </controlPr>
        </control>
      </mc:Choice>
      <mc:Fallback>
        <control shapeId="7173" r:id="rId9" name="Control 5"/>
      </mc:Fallback>
    </mc:AlternateContent>
    <mc:AlternateContent xmlns:mc="http://schemas.openxmlformats.org/markup-compatibility/2006">
      <mc:Choice Requires="x14">
        <control shapeId="7174" r:id="rId10" name="Control 6">
          <controlPr defaultSize="0" r:id="rId6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53340</xdr:rowOff>
              </to>
            </anchor>
          </controlPr>
        </control>
      </mc:Choice>
      <mc:Fallback>
        <control shapeId="7174" r:id="rId10" name="Control 6"/>
      </mc:Fallback>
    </mc:AlternateContent>
    <mc:AlternateContent xmlns:mc="http://schemas.openxmlformats.org/markup-compatibility/2006">
      <mc:Choice Requires="x14">
        <control shapeId="7175" r:id="rId11" name="Control 7">
          <controlPr defaultSize="0" r:id="rId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19</xdr:col>
                <xdr:colOff>137160</xdr:colOff>
                <xdr:row>5</xdr:row>
                <xdr:rowOff>38100</xdr:rowOff>
              </to>
            </anchor>
          </controlPr>
        </control>
      </mc:Choice>
      <mc:Fallback>
        <control shapeId="7175" r:id="rId11" name="Control 7"/>
      </mc:Fallback>
    </mc:AlternateContent>
    <mc:AlternateContent xmlns:mc="http://schemas.openxmlformats.org/markup-compatibility/2006">
      <mc:Choice Requires="x14">
        <control shapeId="7176" r:id="rId12" name="Control 8">
          <controlPr defaultSize="0" r:id="rId6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53340</xdr:rowOff>
              </to>
            </anchor>
          </controlPr>
        </control>
      </mc:Choice>
      <mc:Fallback>
        <control shapeId="7176" r:id="rId12" name="Control 8"/>
      </mc:Fallback>
    </mc:AlternateContent>
    <mc:AlternateContent xmlns:mc="http://schemas.openxmlformats.org/markup-compatibility/2006">
      <mc:Choice Requires="x14">
        <control shapeId="7177" r:id="rId13" name="Control 9">
          <controlPr defaultSize="0" r:id="rId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19</xdr:col>
                <xdr:colOff>137160</xdr:colOff>
                <xdr:row>6</xdr:row>
                <xdr:rowOff>38100</xdr:rowOff>
              </to>
            </anchor>
          </controlPr>
        </control>
      </mc:Choice>
      <mc:Fallback>
        <control shapeId="7177" r:id="rId13" name="Control 9"/>
      </mc:Fallback>
    </mc:AlternateContent>
    <mc:AlternateContent xmlns:mc="http://schemas.openxmlformats.org/markup-compatibility/2006">
      <mc:Choice Requires="x14">
        <control shapeId="7178" r:id="rId14" name="Control 10">
          <controlPr defaultSize="0" r:id="rId6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53340</xdr:rowOff>
              </to>
            </anchor>
          </controlPr>
        </control>
      </mc:Choice>
      <mc:Fallback>
        <control shapeId="7178" r:id="rId14" name="Control 10"/>
      </mc:Fallback>
    </mc:AlternateContent>
    <mc:AlternateContent xmlns:mc="http://schemas.openxmlformats.org/markup-compatibility/2006">
      <mc:Choice Requires="x14">
        <control shapeId="7179" r:id="rId15" name="Control 11">
          <controlPr defaultSize="0" r:id="rId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19</xdr:col>
                <xdr:colOff>137160</xdr:colOff>
                <xdr:row>7</xdr:row>
                <xdr:rowOff>38100</xdr:rowOff>
              </to>
            </anchor>
          </controlPr>
        </control>
      </mc:Choice>
      <mc:Fallback>
        <control shapeId="7179" r:id="rId15" name="Control 11"/>
      </mc:Fallback>
    </mc:AlternateContent>
    <mc:AlternateContent xmlns:mc="http://schemas.openxmlformats.org/markup-compatibility/2006">
      <mc:Choice Requires="x14">
        <control shapeId="7180" r:id="rId16" name="Control 12">
          <controlPr defaultSize="0" r:id="rId6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53340</xdr:rowOff>
              </to>
            </anchor>
          </controlPr>
        </control>
      </mc:Choice>
      <mc:Fallback>
        <control shapeId="7180" r:id="rId16" name="Control 12"/>
      </mc:Fallback>
    </mc:AlternateContent>
    <mc:AlternateContent xmlns:mc="http://schemas.openxmlformats.org/markup-compatibility/2006">
      <mc:Choice Requires="x14">
        <control shapeId="7181" r:id="rId17" name="Control 13">
          <controlPr defaultSize="0" r:id="rId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19</xdr:col>
                <xdr:colOff>137160</xdr:colOff>
                <xdr:row>8</xdr:row>
                <xdr:rowOff>38100</xdr:rowOff>
              </to>
            </anchor>
          </controlPr>
        </control>
      </mc:Choice>
      <mc:Fallback>
        <control shapeId="7181" r:id="rId17" name="Control 13"/>
      </mc:Fallback>
    </mc:AlternateContent>
    <mc:AlternateContent xmlns:mc="http://schemas.openxmlformats.org/markup-compatibility/2006">
      <mc:Choice Requires="x14">
        <control shapeId="7182" r:id="rId18" name="Control 14">
          <controlPr defaultSize="0" r:id="rId6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53340</xdr:rowOff>
              </to>
            </anchor>
          </controlPr>
        </control>
      </mc:Choice>
      <mc:Fallback>
        <control shapeId="7182" r:id="rId18" name="Control 14"/>
      </mc:Fallback>
    </mc:AlternateContent>
    <mc:AlternateContent xmlns:mc="http://schemas.openxmlformats.org/markup-compatibility/2006">
      <mc:Choice Requires="x14">
        <control shapeId="7183" r:id="rId19" name="Control 15">
          <controlPr defaultSize="0" r:id="rId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19</xdr:col>
                <xdr:colOff>137160</xdr:colOff>
                <xdr:row>9</xdr:row>
                <xdr:rowOff>38100</xdr:rowOff>
              </to>
            </anchor>
          </controlPr>
        </control>
      </mc:Choice>
      <mc:Fallback>
        <control shapeId="7183" r:id="rId19" name="Control 15"/>
      </mc:Fallback>
    </mc:AlternateContent>
    <mc:AlternateContent xmlns:mc="http://schemas.openxmlformats.org/markup-compatibility/2006">
      <mc:Choice Requires="x14">
        <control shapeId="7184" r:id="rId20" name="Control 16">
          <controlPr defaultSize="0" r:id="rId6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53340</xdr:rowOff>
              </to>
            </anchor>
          </controlPr>
        </control>
      </mc:Choice>
      <mc:Fallback>
        <control shapeId="7184" r:id="rId20" name="Control 16"/>
      </mc:Fallback>
    </mc:AlternateContent>
    <mc:AlternateContent xmlns:mc="http://schemas.openxmlformats.org/markup-compatibility/2006">
      <mc:Choice Requires="x14">
        <control shapeId="7185" r:id="rId21" name="Control 17">
          <controlPr defaultSize="0" r:id="rId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19</xdr:col>
                <xdr:colOff>137160</xdr:colOff>
                <xdr:row>10</xdr:row>
                <xdr:rowOff>38100</xdr:rowOff>
              </to>
            </anchor>
          </controlPr>
        </control>
      </mc:Choice>
      <mc:Fallback>
        <control shapeId="7185" r:id="rId21" name="Control 17"/>
      </mc:Fallback>
    </mc:AlternateContent>
    <mc:AlternateContent xmlns:mc="http://schemas.openxmlformats.org/markup-compatibility/2006">
      <mc:Choice Requires="x14">
        <control shapeId="7186" r:id="rId22" name="Control 18">
          <controlPr defaultSize="0" r:id="rId6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53340</xdr:rowOff>
              </to>
            </anchor>
          </controlPr>
        </control>
      </mc:Choice>
      <mc:Fallback>
        <control shapeId="7186" r:id="rId22" name="Control 18"/>
      </mc:Fallback>
    </mc:AlternateContent>
    <mc:AlternateContent xmlns:mc="http://schemas.openxmlformats.org/markup-compatibility/2006">
      <mc:Choice Requires="x14">
        <control shapeId="7187" r:id="rId23" name="Control 19">
          <controlPr defaultSize="0" r:id="rId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19</xdr:col>
                <xdr:colOff>137160</xdr:colOff>
                <xdr:row>11</xdr:row>
                <xdr:rowOff>38100</xdr:rowOff>
              </to>
            </anchor>
          </controlPr>
        </control>
      </mc:Choice>
      <mc:Fallback>
        <control shapeId="7187" r:id="rId23" name="Control 19"/>
      </mc:Fallback>
    </mc:AlternateContent>
    <mc:AlternateContent xmlns:mc="http://schemas.openxmlformats.org/markup-compatibility/2006">
      <mc:Choice Requires="x14">
        <control shapeId="7188" r:id="rId24" name="Control 20">
          <controlPr defaultSize="0" r:id="rId6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53340</xdr:rowOff>
              </to>
            </anchor>
          </controlPr>
        </control>
      </mc:Choice>
      <mc:Fallback>
        <control shapeId="7188" r:id="rId24" name="Control 20"/>
      </mc:Fallback>
    </mc:AlternateContent>
    <mc:AlternateContent xmlns:mc="http://schemas.openxmlformats.org/markup-compatibility/2006">
      <mc:Choice Requires="x14">
        <control shapeId="7189" r:id="rId25" name="Control 21">
          <controlPr defaultSize="0" r:id="rId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19</xdr:col>
                <xdr:colOff>137160</xdr:colOff>
                <xdr:row>12</xdr:row>
                <xdr:rowOff>38100</xdr:rowOff>
              </to>
            </anchor>
          </controlPr>
        </control>
      </mc:Choice>
      <mc:Fallback>
        <control shapeId="7189" r:id="rId25" name="Control 21"/>
      </mc:Fallback>
    </mc:AlternateContent>
    <mc:AlternateContent xmlns:mc="http://schemas.openxmlformats.org/markup-compatibility/2006">
      <mc:Choice Requires="x14">
        <control shapeId="7190" r:id="rId26" name="Control 22">
          <controlPr defaultSize="0" r:id="rId6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53340</xdr:rowOff>
              </to>
            </anchor>
          </controlPr>
        </control>
      </mc:Choice>
      <mc:Fallback>
        <control shapeId="7190" r:id="rId26" name="Control 22"/>
      </mc:Fallback>
    </mc:AlternateContent>
    <mc:AlternateContent xmlns:mc="http://schemas.openxmlformats.org/markup-compatibility/2006">
      <mc:Choice Requires="x14">
        <control shapeId="7191" r:id="rId27" name="Control 23">
          <controlPr defaultSize="0" r:id="rId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19</xdr:col>
                <xdr:colOff>137160</xdr:colOff>
                <xdr:row>13</xdr:row>
                <xdr:rowOff>38100</xdr:rowOff>
              </to>
            </anchor>
          </controlPr>
        </control>
      </mc:Choice>
      <mc:Fallback>
        <control shapeId="7191" r:id="rId27" name="Control 23"/>
      </mc:Fallback>
    </mc:AlternateContent>
    <mc:AlternateContent xmlns:mc="http://schemas.openxmlformats.org/markup-compatibility/2006">
      <mc:Choice Requires="x14">
        <control shapeId="7192" r:id="rId28" name="Control 24">
          <controlPr defaultSize="0" r:id="rId6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53340</xdr:rowOff>
              </to>
            </anchor>
          </controlPr>
        </control>
      </mc:Choice>
      <mc:Fallback>
        <control shapeId="7192" r:id="rId28" name="Control 24"/>
      </mc:Fallback>
    </mc:AlternateContent>
    <mc:AlternateContent xmlns:mc="http://schemas.openxmlformats.org/markup-compatibility/2006">
      <mc:Choice Requires="x14">
        <control shapeId="7193" r:id="rId29" name="Control 25">
          <controlPr defaultSize="0" r:id="rId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19</xdr:col>
                <xdr:colOff>137160</xdr:colOff>
                <xdr:row>14</xdr:row>
                <xdr:rowOff>38100</xdr:rowOff>
              </to>
            </anchor>
          </controlPr>
        </control>
      </mc:Choice>
      <mc:Fallback>
        <control shapeId="7193" r:id="rId29" name="Control 25"/>
      </mc:Fallback>
    </mc:AlternateContent>
    <mc:AlternateContent xmlns:mc="http://schemas.openxmlformats.org/markup-compatibility/2006">
      <mc:Choice Requires="x14">
        <control shapeId="7194" r:id="rId30" name="Control 26">
          <controlPr defaultSize="0" r:id="rId6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15</xdr:row>
                <xdr:rowOff>53340</xdr:rowOff>
              </to>
            </anchor>
          </controlPr>
        </control>
      </mc:Choice>
      <mc:Fallback>
        <control shapeId="7194" r:id="rId30" name="Control 26"/>
      </mc:Fallback>
    </mc:AlternateContent>
    <mc:AlternateContent xmlns:mc="http://schemas.openxmlformats.org/markup-compatibility/2006">
      <mc:Choice Requires="x14">
        <control shapeId="7195" r:id="rId31" name="Control 27">
          <controlPr defaultSize="0" r:id="rId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19</xdr:col>
                <xdr:colOff>137160</xdr:colOff>
                <xdr:row>15</xdr:row>
                <xdr:rowOff>38100</xdr:rowOff>
              </to>
            </anchor>
          </controlPr>
        </control>
      </mc:Choice>
      <mc:Fallback>
        <control shapeId="7195" r:id="rId31" name="Control 27"/>
      </mc:Fallback>
    </mc:AlternateContent>
    <mc:AlternateContent xmlns:mc="http://schemas.openxmlformats.org/markup-compatibility/2006">
      <mc:Choice Requires="x14">
        <control shapeId="7196" r:id="rId32" name="Control 28">
          <controlPr defaultSize="0" r:id="rId6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16</xdr:row>
                <xdr:rowOff>53340</xdr:rowOff>
              </to>
            </anchor>
          </controlPr>
        </control>
      </mc:Choice>
      <mc:Fallback>
        <control shapeId="7196" r:id="rId32" name="Control 28"/>
      </mc:Fallback>
    </mc:AlternateContent>
    <mc:AlternateContent xmlns:mc="http://schemas.openxmlformats.org/markup-compatibility/2006">
      <mc:Choice Requires="x14">
        <control shapeId="7197" r:id="rId33" name="Control 29">
          <controlPr defaultSize="0" r:id="rId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19</xdr:col>
                <xdr:colOff>137160</xdr:colOff>
                <xdr:row>16</xdr:row>
                <xdr:rowOff>38100</xdr:rowOff>
              </to>
            </anchor>
          </controlPr>
        </control>
      </mc:Choice>
      <mc:Fallback>
        <control shapeId="7197" r:id="rId33" name="Control 29"/>
      </mc:Fallback>
    </mc:AlternateContent>
    <mc:AlternateContent xmlns:mc="http://schemas.openxmlformats.org/markup-compatibility/2006">
      <mc:Choice Requires="x14">
        <control shapeId="7198" r:id="rId34" name="Control 30">
          <controlPr defaultSize="0" r:id="rId6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53340</xdr:rowOff>
              </to>
            </anchor>
          </controlPr>
        </control>
      </mc:Choice>
      <mc:Fallback>
        <control shapeId="7198" r:id="rId34" name="Control 30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S80"/>
  <sheetViews>
    <sheetView showGridLines="0" zoomScale="99" zoomScaleNormal="70" workbookViewId="0">
      <selection activeCell="E9" sqref="E9"/>
    </sheetView>
  </sheetViews>
  <sheetFormatPr defaultRowHeight="14.4" x14ac:dyDescent="0.3"/>
  <cols>
    <col min="1" max="1" width="19.5546875" bestFit="1" customWidth="1"/>
    <col min="2" max="2" width="27.109375" bestFit="1" customWidth="1"/>
    <col min="3" max="3" width="12.5546875" style="1" bestFit="1" customWidth="1"/>
    <col min="4" max="4" width="13" style="1" bestFit="1" customWidth="1"/>
    <col min="5" max="5" width="13.33203125" bestFit="1" customWidth="1"/>
    <col min="6" max="7" width="26" bestFit="1" customWidth="1"/>
    <col min="8" max="8" width="31" bestFit="1" customWidth="1"/>
    <col min="9" max="9" width="15.5546875" customWidth="1"/>
    <col min="10" max="10" width="13.44140625" bestFit="1" customWidth="1"/>
    <col min="11" max="11" width="14.33203125" bestFit="1" customWidth="1"/>
    <col min="12" max="13" width="16.44140625" bestFit="1" customWidth="1"/>
    <col min="14" max="24" width="8.88671875" customWidth="1"/>
  </cols>
  <sheetData>
    <row r="1" spans="1:19" x14ac:dyDescent="0.3">
      <c r="A1" s="42" t="s">
        <v>0</v>
      </c>
      <c r="B1" s="20" t="s">
        <v>137</v>
      </c>
    </row>
    <row r="2" spans="1:19" x14ac:dyDescent="0.3">
      <c r="A2" s="42" t="s">
        <v>7</v>
      </c>
      <c r="B2" s="20" t="s">
        <v>207</v>
      </c>
    </row>
    <row r="3" spans="1:19" x14ac:dyDescent="0.3">
      <c r="C3"/>
      <c r="D3"/>
    </row>
    <row r="4" spans="1:19" x14ac:dyDescent="0.3">
      <c r="A4" s="41"/>
      <c r="B4" s="41" t="s">
        <v>127</v>
      </c>
      <c r="C4" s="41"/>
      <c r="D4" s="41"/>
      <c r="E4" s="41"/>
    </row>
    <row r="5" spans="1:19" x14ac:dyDescent="0.3">
      <c r="A5" s="41" t="s">
        <v>9</v>
      </c>
      <c r="B5" s="41" t="s">
        <v>97</v>
      </c>
      <c r="C5" s="41" t="s">
        <v>128</v>
      </c>
      <c r="D5" s="41" t="s">
        <v>130</v>
      </c>
      <c r="E5" s="41" t="s">
        <v>129</v>
      </c>
    </row>
    <row r="6" spans="1:19" ht="27.6" x14ac:dyDescent="0.3">
      <c r="A6" s="20" t="s">
        <v>50</v>
      </c>
      <c r="B6" s="20">
        <v>416.19047619999998</v>
      </c>
      <c r="C6" s="20">
        <v>20.809523810000002</v>
      </c>
      <c r="D6" s="20">
        <v>0</v>
      </c>
      <c r="E6" s="20">
        <v>0</v>
      </c>
      <c r="G6" s="24" t="s">
        <v>153</v>
      </c>
      <c r="H6" s="24" t="s">
        <v>154</v>
      </c>
      <c r="I6" s="24" t="s">
        <v>155</v>
      </c>
      <c r="J6" s="24" t="s">
        <v>143</v>
      </c>
      <c r="K6" s="25" t="s">
        <v>144</v>
      </c>
      <c r="L6" s="25" t="s">
        <v>145</v>
      </c>
      <c r="M6" s="25" t="s">
        <v>146</v>
      </c>
    </row>
    <row r="7" spans="1:19" ht="27.6" x14ac:dyDescent="0.3">
      <c r="A7" s="20" t="s">
        <v>51</v>
      </c>
      <c r="B7" s="20">
        <v>432.38095240000001</v>
      </c>
      <c r="C7" s="20">
        <v>21.619047620000003</v>
      </c>
      <c r="D7" s="20">
        <v>0</v>
      </c>
      <c r="E7" s="20">
        <v>0</v>
      </c>
      <c r="G7" s="26" t="s">
        <v>149</v>
      </c>
      <c r="H7" s="26" t="s">
        <v>150</v>
      </c>
      <c r="I7" s="18" t="s">
        <v>141</v>
      </c>
      <c r="J7" s="28">
        <f>SUMIF(raw!A:A,B2C!I7,raw!F:F)</f>
        <v>10578.0952385</v>
      </c>
      <c r="K7" s="10">
        <f>SUMIF(raw!A:A,B2C!I7,raw!M:M)</f>
        <v>491.04761906499994</v>
      </c>
      <c r="L7" s="10">
        <f>SUMIF(raw!A:A,B2C!I7,raw!K:K)</f>
        <v>18.928571430000002</v>
      </c>
      <c r="M7" s="10">
        <f>SUMIF(raw!A:A,B2C!I7,raw!L:L)</f>
        <v>18.928571430000002</v>
      </c>
    </row>
    <row r="8" spans="1:19" ht="27.6" x14ac:dyDescent="0.3">
      <c r="A8" s="20" t="s">
        <v>52</v>
      </c>
      <c r="B8" s="20">
        <v>827.61904770000001</v>
      </c>
      <c r="C8" s="20">
        <v>41.380952385000001</v>
      </c>
      <c r="D8" s="20">
        <v>0</v>
      </c>
      <c r="E8" s="20">
        <v>0</v>
      </c>
      <c r="G8" s="26" t="s">
        <v>147</v>
      </c>
      <c r="H8" s="26" t="s">
        <v>148</v>
      </c>
      <c r="I8" s="18" t="s">
        <v>140</v>
      </c>
      <c r="J8" s="28">
        <f>SUMIF(raw!A:A,B2C!I8,raw!F:F)</f>
        <v>0</v>
      </c>
      <c r="K8" s="10">
        <f>SUMIF(raw!A:A,B2C!I8,raw!M:M)</f>
        <v>0</v>
      </c>
      <c r="L8" s="10">
        <f>SUMIF(raw!A:A,B2C!I8,raw!K:K)</f>
        <v>0</v>
      </c>
      <c r="M8" s="10">
        <f>SUMIF(raw!A:A,B2C!I8,raw!L:L)</f>
        <v>0</v>
      </c>
    </row>
    <row r="9" spans="1:19" x14ac:dyDescent="0.3">
      <c r="A9" s="20" t="s">
        <v>62</v>
      </c>
      <c r="B9" s="20">
        <v>455.23809519999998</v>
      </c>
      <c r="C9" s="20">
        <v>22.76190476</v>
      </c>
      <c r="D9" s="20">
        <v>0</v>
      </c>
      <c r="E9" s="20">
        <v>0</v>
      </c>
      <c r="I9" s="23"/>
      <c r="J9" s="27">
        <f>SUM(J7:J8)</f>
        <v>10578.0952385</v>
      </c>
      <c r="K9" s="27">
        <f>SUM(K7:K8)</f>
        <v>491.04761906499994</v>
      </c>
      <c r="L9" s="27">
        <f>SUM(L7:L8)</f>
        <v>18.928571430000002</v>
      </c>
      <c r="M9" s="27">
        <f>SUM(M7:M8)</f>
        <v>18.928571430000002</v>
      </c>
    </row>
    <row r="10" spans="1:19" x14ac:dyDescent="0.3">
      <c r="A10" s="20" t="s">
        <v>64</v>
      </c>
      <c r="B10" s="20">
        <v>320.952381</v>
      </c>
      <c r="C10" s="20">
        <v>16.047619050000002</v>
      </c>
      <c r="D10" s="20">
        <v>0</v>
      </c>
      <c r="E10" s="20">
        <v>0</v>
      </c>
    </row>
    <row r="11" spans="1:19" x14ac:dyDescent="0.3">
      <c r="A11" s="20" t="s">
        <v>23</v>
      </c>
      <c r="B11" s="20">
        <v>757.14285719999998</v>
      </c>
      <c r="C11" s="20">
        <v>0</v>
      </c>
      <c r="D11" s="20">
        <v>18.928571430000002</v>
      </c>
      <c r="E11" s="20">
        <v>18.928571430000002</v>
      </c>
      <c r="H11" s="22"/>
      <c r="I11" s="12"/>
    </row>
    <row r="12" spans="1:19" x14ac:dyDescent="0.3">
      <c r="A12" s="20" t="s">
        <v>66</v>
      </c>
      <c r="B12" s="20">
        <v>633.33333330000005</v>
      </c>
      <c r="C12" s="20">
        <v>31.666666665000001</v>
      </c>
      <c r="D12" s="20">
        <v>0</v>
      </c>
      <c r="E12" s="20">
        <v>0</v>
      </c>
      <c r="H12" s="22"/>
      <c r="I12" s="12"/>
    </row>
    <row r="13" spans="1:19" x14ac:dyDescent="0.3">
      <c r="A13" s="20" t="s">
        <v>67</v>
      </c>
      <c r="B13" s="20">
        <v>292.38095240000001</v>
      </c>
      <c r="C13" s="20">
        <v>14.619047620000002</v>
      </c>
      <c r="D13" s="20">
        <v>0</v>
      </c>
      <c r="E13" s="20">
        <v>0</v>
      </c>
      <c r="H13" s="22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spans="1:19" x14ac:dyDescent="0.3">
      <c r="A14" s="20" t="s">
        <v>68</v>
      </c>
      <c r="B14" s="20">
        <v>433.33333329999999</v>
      </c>
      <c r="C14" s="20">
        <v>21.666666665000001</v>
      </c>
      <c r="D14" s="20">
        <v>0</v>
      </c>
      <c r="E14" s="20">
        <v>0</v>
      </c>
      <c r="H14" s="22"/>
      <c r="I14" s="29"/>
      <c r="J14" s="29"/>
      <c r="K14" s="29"/>
      <c r="L14" s="29"/>
      <c r="M14" s="29"/>
      <c r="N14" s="29"/>
      <c r="O14" s="29"/>
      <c r="P14" s="30"/>
      <c r="Q14" s="30"/>
      <c r="R14" s="30"/>
      <c r="S14" s="29"/>
    </row>
    <row r="15" spans="1:19" x14ac:dyDescent="0.3">
      <c r="A15" s="20" t="s">
        <v>69</v>
      </c>
      <c r="B15" s="20">
        <v>445.7142857</v>
      </c>
      <c r="C15" s="20">
        <v>22.285714285000001</v>
      </c>
      <c r="D15" s="20">
        <v>0</v>
      </c>
      <c r="E15" s="20">
        <v>0</v>
      </c>
      <c r="H15" s="22"/>
      <c r="I15" s="31"/>
      <c r="J15" s="31"/>
      <c r="K15" s="31"/>
      <c r="L15" s="32"/>
      <c r="M15" s="33"/>
      <c r="N15" s="33"/>
      <c r="O15" s="33"/>
      <c r="P15" s="34"/>
      <c r="Q15" s="34"/>
      <c r="R15" s="34"/>
      <c r="S15" s="34"/>
    </row>
    <row r="16" spans="1:19" x14ac:dyDescent="0.3">
      <c r="A16" s="20" t="s">
        <v>74</v>
      </c>
      <c r="B16" s="20">
        <v>950.47619050000003</v>
      </c>
      <c r="C16" s="20">
        <v>47.523809525000004</v>
      </c>
      <c r="D16" s="20">
        <v>0</v>
      </c>
      <c r="E16" s="20">
        <v>0</v>
      </c>
      <c r="H16" s="22"/>
      <c r="I16" s="31"/>
      <c r="J16" s="31"/>
      <c r="K16" s="31"/>
      <c r="L16" s="32"/>
      <c r="M16" s="33"/>
      <c r="N16" s="33"/>
      <c r="O16" s="33"/>
      <c r="P16" s="33"/>
      <c r="Q16" s="34"/>
      <c r="R16" s="34"/>
      <c r="S16" s="34"/>
    </row>
    <row r="17" spans="1:11" x14ac:dyDescent="0.3">
      <c r="A17" s="20" t="s">
        <v>75</v>
      </c>
      <c r="B17" s="20">
        <v>643.80952389999993</v>
      </c>
      <c r="C17" s="20">
        <v>32.190476195000002</v>
      </c>
      <c r="D17" s="20">
        <v>0</v>
      </c>
      <c r="E17" s="20">
        <v>0</v>
      </c>
      <c r="G17" s="52" t="s">
        <v>156</v>
      </c>
      <c r="H17" s="52"/>
      <c r="I17" s="35"/>
      <c r="J17" s="35"/>
      <c r="K17" s="35"/>
    </row>
    <row r="18" spans="1:11" x14ac:dyDescent="0.3">
      <c r="A18" s="20" t="s">
        <v>78</v>
      </c>
      <c r="B18" s="20">
        <v>1380.9523814000001</v>
      </c>
      <c r="C18" s="20">
        <v>69.04761907000001</v>
      </c>
      <c r="D18" s="20">
        <v>0</v>
      </c>
      <c r="E18" s="20">
        <v>0</v>
      </c>
      <c r="H18" s="22"/>
      <c r="I18" s="35"/>
      <c r="J18" s="35"/>
      <c r="K18" s="35"/>
    </row>
    <row r="19" spans="1:11" ht="27.6" x14ac:dyDescent="0.3">
      <c r="A19" s="20" t="s">
        <v>79</v>
      </c>
      <c r="B19" s="20">
        <v>1361.9047615999998</v>
      </c>
      <c r="C19" s="20">
        <v>68.095238080000016</v>
      </c>
      <c r="D19" s="20">
        <v>0</v>
      </c>
      <c r="E19" s="20">
        <v>0</v>
      </c>
      <c r="G19" s="38" t="s">
        <v>157</v>
      </c>
      <c r="H19" s="24" t="s">
        <v>143</v>
      </c>
      <c r="I19" s="25" t="s">
        <v>144</v>
      </c>
      <c r="J19" s="25" t="s">
        <v>145</v>
      </c>
      <c r="K19" s="25" t="s">
        <v>146</v>
      </c>
    </row>
    <row r="20" spans="1:11" x14ac:dyDescent="0.3">
      <c r="A20" s="20" t="s">
        <v>83</v>
      </c>
      <c r="B20" s="20">
        <v>295.23809519999998</v>
      </c>
      <c r="C20" s="20">
        <v>14.76190476</v>
      </c>
      <c r="D20" s="20">
        <v>0</v>
      </c>
      <c r="E20" s="20">
        <v>0</v>
      </c>
      <c r="G20" s="19" t="s">
        <v>15</v>
      </c>
      <c r="H20" s="10">
        <f>SUMIF(raw!G:G,B2C!G20,raw!F:F)</f>
        <v>757.14285719999998</v>
      </c>
      <c r="I20" s="9">
        <f>SUMIF(raw!G:G,B2C!G20,raw!M:M)</f>
        <v>0</v>
      </c>
      <c r="J20" s="9">
        <f>SUMIF(raw!G:G,B2C!G20,raw!K:K)</f>
        <v>18.928571430000002</v>
      </c>
      <c r="K20" s="8">
        <f>SUMIF(raw!G:G,B2C!G20,raw!L:L)</f>
        <v>18.928571430000002</v>
      </c>
    </row>
    <row r="21" spans="1:11" x14ac:dyDescent="0.3">
      <c r="A21" s="20" t="s">
        <v>84</v>
      </c>
      <c r="B21" s="20">
        <v>931.42857150000009</v>
      </c>
      <c r="C21" s="20">
        <v>46.571428575000006</v>
      </c>
      <c r="D21" s="20">
        <v>0</v>
      </c>
      <c r="E21" s="20">
        <v>0</v>
      </c>
      <c r="G21" s="19" t="s">
        <v>152</v>
      </c>
      <c r="H21" s="20">
        <f>J9-H20</f>
        <v>9820.9523812999996</v>
      </c>
      <c r="I21" s="20">
        <f>K9-I20</f>
        <v>491.04761906499994</v>
      </c>
      <c r="J21" s="20">
        <f>L9-J20</f>
        <v>0</v>
      </c>
      <c r="K21" s="20">
        <f>M9-K20</f>
        <v>0</v>
      </c>
    </row>
    <row r="22" spans="1:11" x14ac:dyDescent="0.3">
      <c r="A22" s="20" t="s">
        <v>98</v>
      </c>
      <c r="B22" s="20">
        <v>10578.0952385</v>
      </c>
      <c r="C22" s="20">
        <v>491.04761906500011</v>
      </c>
      <c r="D22" s="20">
        <v>18.928571430000002</v>
      </c>
      <c r="E22" s="20">
        <v>18.928571430000002</v>
      </c>
      <c r="H22" s="21">
        <f>SUM(H20:H21)</f>
        <v>10578.0952385</v>
      </c>
      <c r="I22" s="21">
        <f t="shared" ref="I22:K22" si="0">SUM(I20:I21)</f>
        <v>491.04761906499994</v>
      </c>
      <c r="J22" s="21">
        <f t="shared" si="0"/>
        <v>18.928571430000002</v>
      </c>
      <c r="K22" s="21">
        <f t="shared" si="0"/>
        <v>18.928571430000002</v>
      </c>
    </row>
    <row r="23" spans="1:11" x14ac:dyDescent="0.3">
      <c r="C23"/>
      <c r="D23"/>
      <c r="H23" s="22"/>
      <c r="I23" s="35"/>
      <c r="J23" s="35"/>
      <c r="K23" s="35"/>
    </row>
    <row r="24" spans="1:11" x14ac:dyDescent="0.3">
      <c r="C24"/>
      <c r="D24"/>
      <c r="H24" s="22"/>
      <c r="I24" s="35"/>
      <c r="J24" s="35"/>
      <c r="K24" s="35"/>
    </row>
    <row r="25" spans="1:11" x14ac:dyDescent="0.3">
      <c r="C25"/>
      <c r="D25"/>
      <c r="H25" s="22"/>
      <c r="I25" s="35"/>
      <c r="J25" s="35"/>
      <c r="K25" s="35"/>
    </row>
    <row r="26" spans="1:11" x14ac:dyDescent="0.3">
      <c r="C26"/>
      <c r="D26"/>
      <c r="H26" s="22"/>
      <c r="I26" s="35"/>
      <c r="J26" s="35"/>
      <c r="K26" s="35"/>
    </row>
    <row r="27" spans="1:11" x14ac:dyDescent="0.3">
      <c r="C27"/>
      <c r="D27"/>
      <c r="H27" s="22"/>
      <c r="I27" s="35"/>
      <c r="J27" s="35"/>
      <c r="K27" s="35"/>
    </row>
    <row r="28" spans="1:11" x14ac:dyDescent="0.3">
      <c r="C28"/>
      <c r="D28"/>
      <c r="H28" s="22"/>
      <c r="I28" s="35"/>
      <c r="J28" s="35"/>
      <c r="K28" s="35"/>
    </row>
    <row r="29" spans="1:11" x14ac:dyDescent="0.3">
      <c r="C29"/>
      <c r="D29"/>
      <c r="H29" s="22"/>
      <c r="I29" s="35"/>
      <c r="J29" s="35"/>
      <c r="K29" s="35"/>
    </row>
    <row r="30" spans="1:11" x14ac:dyDescent="0.3">
      <c r="C30"/>
      <c r="D30"/>
      <c r="H30" s="22"/>
      <c r="I30" s="35"/>
      <c r="J30" s="35"/>
      <c r="K30" s="35"/>
    </row>
    <row r="31" spans="1:11" x14ac:dyDescent="0.3">
      <c r="C31"/>
      <c r="D31"/>
      <c r="H31" s="22"/>
      <c r="I31" s="35"/>
      <c r="J31" s="35"/>
      <c r="K31" s="35"/>
    </row>
    <row r="32" spans="1:11" x14ac:dyDescent="0.3">
      <c r="C32"/>
      <c r="D32"/>
      <c r="H32" s="22"/>
      <c r="I32" s="35"/>
      <c r="J32" s="35"/>
      <c r="K32" s="35"/>
    </row>
    <row r="33" spans="1:11" x14ac:dyDescent="0.3">
      <c r="C33"/>
      <c r="D33"/>
      <c r="H33" s="22"/>
      <c r="I33" s="35"/>
      <c r="J33" s="35"/>
      <c r="K33" s="35"/>
    </row>
    <row r="34" spans="1:11" x14ac:dyDescent="0.3">
      <c r="C34"/>
      <c r="D34"/>
      <c r="H34" s="22"/>
      <c r="I34" s="35"/>
      <c r="J34" s="35"/>
      <c r="K34" s="35"/>
    </row>
    <row r="35" spans="1:11" x14ac:dyDescent="0.3">
      <c r="C35"/>
      <c r="D35"/>
      <c r="H35" s="22"/>
      <c r="I35" s="35"/>
      <c r="J35" s="35"/>
      <c r="K35" s="35"/>
    </row>
    <row r="36" spans="1:11" x14ac:dyDescent="0.3">
      <c r="C36"/>
      <c r="D36"/>
      <c r="H36" s="22"/>
      <c r="I36" s="35"/>
      <c r="J36" s="35"/>
      <c r="K36" s="35"/>
    </row>
    <row r="37" spans="1:11" x14ac:dyDescent="0.3">
      <c r="C37"/>
      <c r="D37"/>
      <c r="H37" s="22"/>
      <c r="I37" s="35"/>
      <c r="J37" s="35"/>
      <c r="K37" s="35"/>
    </row>
    <row r="38" spans="1:11" x14ac:dyDescent="0.3">
      <c r="C38"/>
      <c r="D38"/>
      <c r="H38" s="22"/>
      <c r="I38" s="35"/>
      <c r="J38" s="35"/>
      <c r="K38" s="35"/>
    </row>
    <row r="39" spans="1:11" x14ac:dyDescent="0.3">
      <c r="C39"/>
      <c r="D39"/>
      <c r="H39" s="22"/>
      <c r="I39" s="35"/>
      <c r="J39" s="35"/>
      <c r="K39" s="35"/>
    </row>
    <row r="40" spans="1:11" ht="15" thickBot="1" x14ac:dyDescent="0.35">
      <c r="C40"/>
      <c r="D40"/>
      <c r="I40" s="35"/>
      <c r="J40" s="35"/>
      <c r="K40" s="35"/>
    </row>
    <row r="41" spans="1:11" ht="42" thickBot="1" x14ac:dyDescent="0.35">
      <c r="A41" s="51" t="s">
        <v>208</v>
      </c>
      <c r="B41" s="51" t="s">
        <v>209</v>
      </c>
      <c r="C41" s="51" t="s">
        <v>210</v>
      </c>
      <c r="D41" s="51" t="s">
        <v>144</v>
      </c>
      <c r="E41" s="51" t="s">
        <v>145</v>
      </c>
      <c r="F41" s="51" t="s">
        <v>146</v>
      </c>
      <c r="G41" s="51" t="s">
        <v>211</v>
      </c>
      <c r="H41" s="51" t="s">
        <v>212</v>
      </c>
      <c r="I41" s="51" t="s">
        <v>213</v>
      </c>
    </row>
    <row r="42" spans="1:11" ht="15.6" thickTop="1" thickBot="1" x14ac:dyDescent="0.35">
      <c r="A42" s="45" t="s">
        <v>15</v>
      </c>
      <c r="B42" s="43">
        <v>5</v>
      </c>
      <c r="C42" s="44">
        <v>757.14</v>
      </c>
      <c r="D42" s="44">
        <v>0</v>
      </c>
      <c r="E42" s="44">
        <v>18.93</v>
      </c>
      <c r="F42" s="44">
        <v>18.93</v>
      </c>
      <c r="G42" s="44">
        <v>0</v>
      </c>
      <c r="H42" s="44" t="s">
        <v>214</v>
      </c>
      <c r="I42" s="43" t="s">
        <v>215</v>
      </c>
    </row>
    <row r="43" spans="1:11" ht="14.4" hidden="1" customHeight="1" x14ac:dyDescent="0.3">
      <c r="A43" s="45" t="s">
        <v>21</v>
      </c>
      <c r="B43" s="43">
        <v>5</v>
      </c>
      <c r="C43" s="44">
        <v>633.33000000000004</v>
      </c>
      <c r="D43" s="44">
        <v>31.67</v>
      </c>
      <c r="E43" s="44">
        <v>0</v>
      </c>
      <c r="F43" s="44">
        <v>0</v>
      </c>
      <c r="G43" s="44">
        <v>0</v>
      </c>
      <c r="H43" s="44" t="s">
        <v>214</v>
      </c>
      <c r="I43" s="43" t="s">
        <v>215</v>
      </c>
    </row>
    <row r="44" spans="1:11" ht="14.4" hidden="1" customHeight="1" x14ac:dyDescent="0.3">
      <c r="A44" s="45" t="s">
        <v>26</v>
      </c>
      <c r="B44" s="43">
        <v>5</v>
      </c>
      <c r="C44" s="44">
        <v>292.38</v>
      </c>
      <c r="D44" s="44">
        <v>14.62</v>
      </c>
      <c r="E44" s="44">
        <v>0</v>
      </c>
      <c r="F44" s="44">
        <v>0</v>
      </c>
      <c r="G44" s="44">
        <v>0</v>
      </c>
      <c r="H44" s="44" t="s">
        <v>214</v>
      </c>
      <c r="I44" s="43" t="s">
        <v>215</v>
      </c>
    </row>
    <row r="45" spans="1:11" ht="14.4" hidden="1" customHeight="1" x14ac:dyDescent="0.3">
      <c r="A45" s="45" t="s">
        <v>30</v>
      </c>
      <c r="B45" s="43">
        <v>5</v>
      </c>
      <c r="C45" s="44">
        <v>433.33</v>
      </c>
      <c r="D45" s="44">
        <v>21.67</v>
      </c>
      <c r="E45" s="44">
        <v>0</v>
      </c>
      <c r="F45" s="44">
        <v>0</v>
      </c>
      <c r="G45" s="44">
        <v>0</v>
      </c>
      <c r="H45" s="44" t="s">
        <v>214</v>
      </c>
      <c r="I45" s="43" t="s">
        <v>215</v>
      </c>
    </row>
    <row r="46" spans="1:11" ht="15" thickBot="1" x14ac:dyDescent="0.35">
      <c r="A46" s="45" t="s">
        <v>35</v>
      </c>
      <c r="B46" s="43">
        <v>5</v>
      </c>
      <c r="C46" s="44">
        <v>445.71</v>
      </c>
      <c r="D46" s="44">
        <v>22.29</v>
      </c>
      <c r="E46" s="44">
        <v>0</v>
      </c>
      <c r="F46" s="44">
        <v>0</v>
      </c>
      <c r="G46" s="44">
        <v>0</v>
      </c>
      <c r="H46" s="44" t="s">
        <v>214</v>
      </c>
      <c r="I46" s="43" t="s">
        <v>215</v>
      </c>
    </row>
    <row r="47" spans="1:11" ht="15" thickBot="1" x14ac:dyDescent="0.35">
      <c r="A47" s="45" t="s">
        <v>19</v>
      </c>
      <c r="B47" s="43">
        <v>5</v>
      </c>
      <c r="C47" s="44">
        <v>432.38</v>
      </c>
      <c r="D47" s="44">
        <v>21.62</v>
      </c>
      <c r="E47" s="44">
        <v>0</v>
      </c>
      <c r="F47" s="44">
        <v>0</v>
      </c>
      <c r="G47" s="44">
        <v>0</v>
      </c>
      <c r="H47" s="44" t="s">
        <v>214</v>
      </c>
      <c r="I47" s="43" t="s">
        <v>215</v>
      </c>
    </row>
    <row r="48" spans="1:11" ht="15" thickBot="1" x14ac:dyDescent="0.35">
      <c r="A48" s="45" t="s">
        <v>16</v>
      </c>
      <c r="B48" s="43">
        <v>5</v>
      </c>
      <c r="C48" s="44">
        <v>827.62</v>
      </c>
      <c r="D48" s="44">
        <v>41.38</v>
      </c>
      <c r="E48" s="44">
        <v>0</v>
      </c>
      <c r="F48" s="44">
        <v>0</v>
      </c>
      <c r="G48" s="44">
        <v>0</v>
      </c>
      <c r="H48" s="44" t="s">
        <v>214</v>
      </c>
      <c r="I48" s="43" t="s">
        <v>215</v>
      </c>
    </row>
    <row r="49" spans="1:9" ht="15" thickBot="1" x14ac:dyDescent="0.35">
      <c r="A49" s="45" t="s">
        <v>22</v>
      </c>
      <c r="B49" s="43">
        <v>5</v>
      </c>
      <c r="C49" s="44">
        <v>320.95</v>
      </c>
      <c r="D49" s="44">
        <v>16.05</v>
      </c>
      <c r="E49" s="44">
        <v>0</v>
      </c>
      <c r="F49" s="44">
        <v>0</v>
      </c>
      <c r="G49" s="44">
        <v>0</v>
      </c>
      <c r="H49" s="44" t="s">
        <v>214</v>
      </c>
      <c r="I49" s="43" t="s">
        <v>215</v>
      </c>
    </row>
    <row r="50" spans="1:9" ht="15" thickBot="1" x14ac:dyDescent="0.35">
      <c r="A50" s="45" t="s">
        <v>32</v>
      </c>
      <c r="B50" s="43">
        <v>5</v>
      </c>
      <c r="C50" s="44">
        <v>455.24</v>
      </c>
      <c r="D50" s="44">
        <v>22.76</v>
      </c>
      <c r="E50" s="44">
        <v>0</v>
      </c>
      <c r="F50" s="44">
        <v>0</v>
      </c>
      <c r="G50" s="44">
        <v>0</v>
      </c>
      <c r="H50" s="44" t="s">
        <v>214</v>
      </c>
      <c r="I50" s="43" t="s">
        <v>215</v>
      </c>
    </row>
    <row r="51" spans="1:9" ht="15" thickBot="1" x14ac:dyDescent="0.35">
      <c r="A51" s="45" t="s">
        <v>28</v>
      </c>
      <c r="B51" s="43">
        <v>5</v>
      </c>
      <c r="C51" s="44">
        <v>416.19</v>
      </c>
      <c r="D51" s="44">
        <v>20.81</v>
      </c>
      <c r="E51" s="44">
        <v>0</v>
      </c>
      <c r="F51" s="44">
        <v>0</v>
      </c>
      <c r="G51" s="44">
        <v>0</v>
      </c>
      <c r="H51" s="44" t="s">
        <v>214</v>
      </c>
      <c r="I51" s="43" t="s">
        <v>215</v>
      </c>
    </row>
    <row r="52" spans="1:9" ht="15" thickBot="1" x14ac:dyDescent="0.35">
      <c r="A52" s="45" t="s">
        <v>31</v>
      </c>
      <c r="B52" s="43">
        <v>5</v>
      </c>
      <c r="C52" s="44">
        <v>950.48</v>
      </c>
      <c r="D52" s="44">
        <v>47.52</v>
      </c>
      <c r="E52" s="44">
        <v>0</v>
      </c>
      <c r="F52" s="44">
        <v>0</v>
      </c>
      <c r="G52" s="44">
        <v>0</v>
      </c>
      <c r="H52" s="44" t="s">
        <v>214</v>
      </c>
      <c r="I52" s="43" t="s">
        <v>215</v>
      </c>
    </row>
    <row r="53" spans="1:9" ht="15" thickBot="1" x14ac:dyDescent="0.35">
      <c r="A53" s="45" t="s">
        <v>20</v>
      </c>
      <c r="B53" s="43">
        <v>5</v>
      </c>
      <c r="C53" s="44">
        <v>643.30999999999995</v>
      </c>
      <c r="D53" s="44">
        <v>32.17</v>
      </c>
      <c r="E53" s="44">
        <v>0</v>
      </c>
      <c r="F53" s="44">
        <v>0</v>
      </c>
      <c r="G53" s="44">
        <v>0</v>
      </c>
      <c r="H53" s="44" t="s">
        <v>214</v>
      </c>
      <c r="I53" s="43" t="s">
        <v>215</v>
      </c>
    </row>
    <row r="54" spans="1:9" ht="15" thickBot="1" x14ac:dyDescent="0.35">
      <c r="A54" s="45" t="s">
        <v>17</v>
      </c>
      <c r="B54" s="43">
        <v>5</v>
      </c>
      <c r="C54" s="46">
        <v>1380.95</v>
      </c>
      <c r="D54" s="44">
        <v>69.05</v>
      </c>
      <c r="E54" s="44">
        <v>0</v>
      </c>
      <c r="F54" s="44">
        <v>0</v>
      </c>
      <c r="G54" s="44">
        <v>0</v>
      </c>
      <c r="H54" s="44" t="s">
        <v>214</v>
      </c>
      <c r="I54" s="43" t="s">
        <v>215</v>
      </c>
    </row>
    <row r="55" spans="1:9" ht="15" thickBot="1" x14ac:dyDescent="0.35">
      <c r="A55" s="45" t="s">
        <v>29</v>
      </c>
      <c r="B55" s="43">
        <v>5</v>
      </c>
      <c r="C55" s="44">
        <v>295.24</v>
      </c>
      <c r="D55" s="44">
        <v>14.76</v>
      </c>
      <c r="E55" s="44">
        <v>0</v>
      </c>
      <c r="F55" s="44">
        <v>0</v>
      </c>
      <c r="G55" s="44">
        <v>0</v>
      </c>
      <c r="H55" s="44" t="s">
        <v>214</v>
      </c>
      <c r="I55" s="43" t="s">
        <v>215</v>
      </c>
    </row>
    <row r="56" spans="1:9" ht="15" thickBot="1" x14ac:dyDescent="0.35">
      <c r="A56" s="45" t="s">
        <v>25</v>
      </c>
      <c r="B56" s="43">
        <v>5</v>
      </c>
      <c r="C56" s="46">
        <v>1361.9</v>
      </c>
      <c r="D56" s="44">
        <v>68.099999999999994</v>
      </c>
      <c r="E56" s="44">
        <v>0</v>
      </c>
      <c r="F56" s="44">
        <v>0</v>
      </c>
      <c r="G56" s="44">
        <v>0</v>
      </c>
      <c r="H56" s="44" t="s">
        <v>214</v>
      </c>
      <c r="I56" s="43" t="s">
        <v>215</v>
      </c>
    </row>
    <row r="57" spans="1:9" hidden="1" x14ac:dyDescent="0.3">
      <c r="B57" s="16"/>
      <c r="C57"/>
      <c r="D57"/>
    </row>
    <row r="58" spans="1:9" hidden="1" x14ac:dyDescent="0.3">
      <c r="B58" s="17"/>
      <c r="C58"/>
      <c r="D58"/>
    </row>
    <row r="59" spans="1:9" hidden="1" x14ac:dyDescent="0.3">
      <c r="B59" s="17"/>
      <c r="C59"/>
      <c r="D59"/>
    </row>
    <row r="60" spans="1:9" ht="28.5" hidden="1" customHeight="1" thickBot="1" x14ac:dyDescent="0.35">
      <c r="B60" s="53"/>
      <c r="C60" s="53"/>
      <c r="D60" s="53"/>
      <c r="E60" s="53"/>
      <c r="F60" s="53"/>
      <c r="G60" s="53" t="s">
        <v>142</v>
      </c>
    </row>
    <row r="61" spans="1:9" ht="28.2" hidden="1" customHeight="1" thickBot="1" x14ac:dyDescent="0.35">
      <c r="B61" s="54"/>
      <c r="C61" s="54"/>
      <c r="D61" s="54"/>
      <c r="E61" s="54"/>
      <c r="F61" s="54"/>
      <c r="G61" s="54"/>
    </row>
    <row r="62" spans="1:9" ht="15" hidden="1" thickBot="1" x14ac:dyDescent="0.35">
      <c r="B62" s="13"/>
      <c r="C62" s="13"/>
      <c r="D62" s="13"/>
      <c r="E62" s="14"/>
      <c r="F62" s="15"/>
      <c r="G62" s="15">
        <v>56323</v>
      </c>
    </row>
    <row r="63" spans="1:9" ht="15" hidden="1" thickBot="1" x14ac:dyDescent="0.35">
      <c r="B63" s="13"/>
      <c r="C63" s="13"/>
      <c r="D63" s="13"/>
      <c r="E63" s="14"/>
      <c r="F63" s="15"/>
      <c r="G63" s="15">
        <v>555682.86</v>
      </c>
    </row>
    <row r="64" spans="1:9" hidden="1" x14ac:dyDescent="0.3">
      <c r="C64"/>
      <c r="D64"/>
    </row>
    <row r="65" spans="2:6" hidden="1" x14ac:dyDescent="0.3">
      <c r="C65"/>
      <c r="D65"/>
    </row>
    <row r="66" spans="2:6" hidden="1" x14ac:dyDescent="0.3">
      <c r="C66"/>
      <c r="D66"/>
    </row>
    <row r="72" spans="2:6" x14ac:dyDescent="0.3">
      <c r="D72" s="4"/>
      <c r="E72" s="4"/>
      <c r="F72" s="4"/>
    </row>
    <row r="73" spans="2:6" x14ac:dyDescent="0.3">
      <c r="D73" s="4"/>
      <c r="E73" s="4"/>
      <c r="F73" s="4"/>
    </row>
    <row r="80" spans="2:6" x14ac:dyDescent="0.3">
      <c r="B80" s="11">
        <f>H22-J9</f>
        <v>0</v>
      </c>
      <c r="C80" s="11">
        <f>I22-K9</f>
        <v>0</v>
      </c>
      <c r="D80" s="11">
        <f>J22-L9</f>
        <v>0</v>
      </c>
      <c r="E80" s="11">
        <f>K22-M9</f>
        <v>0</v>
      </c>
    </row>
  </sheetData>
  <mergeCells count="7">
    <mergeCell ref="G17:H17"/>
    <mergeCell ref="G60:G61"/>
    <mergeCell ref="B60:B61"/>
    <mergeCell ref="C60:C61"/>
    <mergeCell ref="D60:D61"/>
    <mergeCell ref="E60:E61"/>
    <mergeCell ref="F60:F61"/>
  </mergeCells>
  <pageMargins left="0.7" right="0.7" top="0.75" bottom="0.75" header="0.3" footer="0.3"/>
  <pageSetup paperSize="9" orientation="portrait" verticalDpi="0" r:id="rId2"/>
  <drawing r:id="rId3"/>
  <legacyDrawing r:id="rId4"/>
  <controls>
    <mc:AlternateContent xmlns:mc="http://schemas.openxmlformats.org/markup-compatibility/2006">
      <mc:Choice Requires="x14">
        <control shapeId="1028" r:id="rId5" name="Control 4">
          <controlPr defaultSize="0" r:id="rId6">
            <anchor moveWithCells="1">
              <from>
                <xdr:col>1</xdr:col>
                <xdr:colOff>0</xdr:colOff>
                <xdr:row>54</xdr:row>
                <xdr:rowOff>144780</xdr:rowOff>
              </from>
              <to>
                <xdr:col>1</xdr:col>
                <xdr:colOff>228600</xdr:colOff>
                <xdr:row>66</xdr:row>
                <xdr:rowOff>0</xdr:rowOff>
              </to>
            </anchor>
          </controlPr>
        </control>
      </mc:Choice>
      <mc:Fallback>
        <control shapeId="1028" r:id="rId5" name="Control 4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r:id="rId6">
            <anchor moveWithCells="1">
              <from>
                <xdr:col>1</xdr:col>
                <xdr:colOff>0</xdr:colOff>
                <xdr:row>54</xdr:row>
                <xdr:rowOff>144780</xdr:rowOff>
              </from>
              <to>
                <xdr:col>1</xdr:col>
                <xdr:colOff>228600</xdr:colOff>
                <xdr:row>66</xdr:row>
                <xdr:rowOff>0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6" r:id="rId8" name="Control 2">
          <controlPr defaultSize="0" r:id="rId6">
            <anchor moveWithCells="1">
              <from>
                <xdr:col>1</xdr:col>
                <xdr:colOff>0</xdr:colOff>
                <xdr:row>54</xdr:row>
                <xdr:rowOff>144780</xdr:rowOff>
              </from>
              <to>
                <xdr:col>1</xdr:col>
                <xdr:colOff>228600</xdr:colOff>
                <xdr:row>66</xdr:row>
                <xdr:rowOff>0</xdr:rowOff>
              </to>
            </anchor>
          </controlPr>
        </control>
      </mc:Choice>
      <mc:Fallback>
        <control shapeId="1026" r:id="rId8" name="Control 2"/>
      </mc:Fallback>
    </mc:AlternateContent>
    <mc:AlternateContent xmlns:mc="http://schemas.openxmlformats.org/markup-compatibility/2006">
      <mc:Choice Requires="x14">
        <control shapeId="1025" r:id="rId9" name="Control 1">
          <controlPr defaultSize="0" r:id="rId10">
            <anchor moveWithCells="1">
              <from>
                <xdr:col>1</xdr:col>
                <xdr:colOff>0</xdr:colOff>
                <xdr:row>54</xdr:row>
                <xdr:rowOff>144780</xdr:rowOff>
              </from>
              <to>
                <xdr:col>1</xdr:col>
                <xdr:colOff>883920</xdr:colOff>
                <xdr:row>55</xdr:row>
                <xdr:rowOff>182880</xdr:rowOff>
              </to>
            </anchor>
          </controlPr>
        </control>
      </mc:Choice>
      <mc:Fallback>
        <control shapeId="1025" r:id="rId9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39"/>
  <sheetViews>
    <sheetView showGridLines="0" tabSelected="1" topLeftCell="C1" zoomScaleNormal="100" workbookViewId="0">
      <pane ySplit="2" topLeftCell="A3" activePane="bottomLeft" state="frozen"/>
      <selection pane="bottomLeft" activeCell="J1" sqref="J1:O1"/>
    </sheetView>
  </sheetViews>
  <sheetFormatPr defaultRowHeight="14.4" x14ac:dyDescent="0.3"/>
  <cols>
    <col min="1" max="1" width="10.5546875" style="61" bestFit="1" customWidth="1"/>
    <col min="2" max="2" width="19.6640625" style="61" bestFit="1" customWidth="1"/>
    <col min="3" max="3" width="21.88671875" style="61" bestFit="1" customWidth="1"/>
    <col min="4" max="4" width="11" style="61" bestFit="1" customWidth="1"/>
    <col min="5" max="5" width="9.88671875" style="61" bestFit="1" customWidth="1"/>
    <col min="6" max="6" width="20.109375" style="22" bestFit="1" customWidth="1"/>
    <col min="7" max="7" width="46.88671875" style="61" bestFit="1" customWidth="1"/>
    <col min="8" max="8" width="9.109375" style="61" bestFit="1" customWidth="1"/>
    <col min="9" max="9" width="6.5546875" style="61" bestFit="1" customWidth="1"/>
    <col min="10" max="10" width="34.6640625" style="61" bestFit="1" customWidth="1"/>
    <col min="11" max="13" width="8.21875" style="61" bestFit="1" customWidth="1"/>
    <col min="14" max="14" width="8.5546875" style="61" bestFit="1" customWidth="1"/>
    <col min="15" max="15" width="8.21875" style="61" bestFit="1" customWidth="1"/>
    <col min="16" max="22" width="5.6640625" style="61" customWidth="1"/>
    <col min="23" max="23" width="46.88671875" style="61" bestFit="1" customWidth="1"/>
    <col min="24" max="24" width="34.6640625" style="61" bestFit="1" customWidth="1"/>
    <col min="25" max="26" width="2" style="61" bestFit="1" customWidth="1"/>
    <col min="27" max="16384" width="8.88671875" style="61"/>
  </cols>
  <sheetData>
    <row r="1" spans="1:25" x14ac:dyDescent="0.3">
      <c r="A1" s="55"/>
      <c r="B1" s="55"/>
      <c r="C1" s="55"/>
      <c r="D1" s="55"/>
      <c r="E1" s="55"/>
      <c r="F1" s="56"/>
      <c r="G1" s="55"/>
      <c r="H1" s="55"/>
      <c r="I1" s="57"/>
      <c r="J1" s="58"/>
      <c r="K1" s="59"/>
      <c r="L1" s="59"/>
      <c r="M1" s="59"/>
      <c r="N1" s="59"/>
      <c r="O1" s="60"/>
      <c r="P1" s="40"/>
      <c r="Q1" s="40" t="str">
        <f>_xlfn.TEXTJOIN("  next ",TRUE,K1:O1)</f>
        <v/>
      </c>
      <c r="R1" s="40" t="s">
        <v>216</v>
      </c>
      <c r="S1" s="40"/>
      <c r="T1" s="40"/>
      <c r="U1" s="40"/>
      <c r="V1" s="40"/>
      <c r="W1" s="58"/>
      <c r="X1" s="58"/>
      <c r="Y1" s="58"/>
    </row>
    <row r="2" spans="1:25" x14ac:dyDescent="0.3">
      <c r="A2" s="62" t="s">
        <v>0</v>
      </c>
      <c r="B2" s="62" t="s">
        <v>1</v>
      </c>
      <c r="C2" s="62" t="s">
        <v>2</v>
      </c>
      <c r="D2" s="62" t="s">
        <v>3</v>
      </c>
      <c r="E2" s="62" t="s">
        <v>4</v>
      </c>
      <c r="F2" s="63" t="s">
        <v>5</v>
      </c>
      <c r="G2" s="62" t="s">
        <v>6</v>
      </c>
      <c r="H2" s="62" t="s">
        <v>7</v>
      </c>
      <c r="I2" s="62" t="s">
        <v>8</v>
      </c>
      <c r="J2" s="64" t="s">
        <v>9</v>
      </c>
      <c r="K2" s="64" t="s">
        <v>10</v>
      </c>
      <c r="L2" s="64" t="s">
        <v>11</v>
      </c>
      <c r="M2" s="64" t="s">
        <v>12</v>
      </c>
      <c r="N2" s="64" t="s">
        <v>13</v>
      </c>
      <c r="O2" s="65" t="s">
        <v>158</v>
      </c>
      <c r="P2" s="39"/>
      <c r="Q2" s="39"/>
      <c r="R2" s="39"/>
      <c r="S2" s="39"/>
      <c r="T2" s="39"/>
      <c r="U2" s="39"/>
      <c r="V2" s="39"/>
      <c r="W2" s="58"/>
      <c r="X2" s="58"/>
      <c r="Y2" s="58"/>
    </row>
    <row r="3" spans="1:25" x14ac:dyDescent="0.3">
      <c r="A3" s="55" t="s">
        <v>141</v>
      </c>
      <c r="B3" s="61" t="s">
        <v>159</v>
      </c>
      <c r="C3" s="61" t="s">
        <v>171</v>
      </c>
      <c r="D3" s="61">
        <v>6111</v>
      </c>
      <c r="E3" s="61">
        <v>5</v>
      </c>
      <c r="F3" s="61">
        <v>344.76190480000002</v>
      </c>
      <c r="G3" s="61" t="s">
        <v>103</v>
      </c>
      <c r="H3" s="61" t="s">
        <v>138</v>
      </c>
      <c r="I3" s="61">
        <v>1</v>
      </c>
      <c r="J3" s="58" t="str">
        <f>VLOOKUP(G3,' State_Mapping'!A:B,2,0)</f>
        <v>33-Tamil Nadu</v>
      </c>
      <c r="K3" s="61">
        <f>IF(J3=$X$22,F3*E3%/2,0)</f>
        <v>0</v>
      </c>
      <c r="L3" s="61">
        <f>IF(J3=$X$22,F3*E3%/2,0)</f>
        <v>0</v>
      </c>
      <c r="M3" s="61">
        <f>IF(J3=$X$22,0,F3*E3%)</f>
        <v>17.238095240000003</v>
      </c>
      <c r="N3" s="61">
        <f>K3+L3+M3+F3</f>
        <v>362.00000004000003</v>
      </c>
      <c r="O3" s="66" t="b">
        <f>(M3+L3+K3)/F3=E3%</f>
        <v>1</v>
      </c>
      <c r="P3" s="40"/>
      <c r="Q3" s="40"/>
      <c r="R3" s="40"/>
      <c r="S3" s="40"/>
      <c r="T3" s="40"/>
      <c r="U3" s="40"/>
      <c r="V3" s="40"/>
      <c r="W3" s="58"/>
      <c r="X3" s="58"/>
      <c r="Y3" s="61">
        <v>1</v>
      </c>
    </row>
    <row r="4" spans="1:25" x14ac:dyDescent="0.3">
      <c r="A4" s="55" t="s">
        <v>141</v>
      </c>
      <c r="B4" s="61" t="s">
        <v>160</v>
      </c>
      <c r="C4" s="61" t="s">
        <v>172</v>
      </c>
      <c r="D4" s="61">
        <v>611120</v>
      </c>
      <c r="E4" s="61">
        <v>5</v>
      </c>
      <c r="F4" s="61">
        <v>445.7142857</v>
      </c>
      <c r="G4" s="61" t="s">
        <v>117</v>
      </c>
      <c r="H4" s="61" t="s">
        <v>138</v>
      </c>
      <c r="I4" s="61">
        <v>1</v>
      </c>
      <c r="J4" s="58" t="str">
        <f>VLOOKUP(G4,' State_Mapping'!A:B,2,0)</f>
        <v>24-Gujarat</v>
      </c>
      <c r="K4" s="58">
        <f t="shared" ref="K4:K35" si="0">IF(J4=$X$22,F4*E4%/2,0)</f>
        <v>0</v>
      </c>
      <c r="L4" s="58">
        <f t="shared" ref="L4:L35" si="1">IF(J4=$X$22,F4*E4%/2,0)</f>
        <v>0</v>
      </c>
      <c r="M4" s="58">
        <f t="shared" ref="M4:M35" si="2">IF(J4=$X$22,0,F4*E4%)</f>
        <v>22.285714285000001</v>
      </c>
      <c r="N4" s="58">
        <f t="shared" ref="N4:N35" si="3">K4+L4+M4+F4</f>
        <v>467.99999998499999</v>
      </c>
      <c r="O4" s="66" t="b">
        <f t="shared" ref="O4:O38" si="4">(M4+L4+K4)/F4=E4%</f>
        <v>1</v>
      </c>
      <c r="P4" s="40"/>
      <c r="Q4" s="40"/>
      <c r="R4" s="40"/>
      <c r="S4" s="40"/>
      <c r="T4" s="40"/>
      <c r="U4" s="40"/>
      <c r="V4" s="40"/>
      <c r="W4" s="58"/>
      <c r="X4" s="58"/>
      <c r="Y4" s="61">
        <v>1</v>
      </c>
    </row>
    <row r="5" spans="1:25" x14ac:dyDescent="0.3">
      <c r="A5" s="55" t="s">
        <v>141</v>
      </c>
      <c r="B5" s="61" t="s">
        <v>161</v>
      </c>
      <c r="C5" s="61" t="s">
        <v>173</v>
      </c>
      <c r="D5" s="61">
        <v>6111</v>
      </c>
      <c r="E5" s="61">
        <v>5</v>
      </c>
      <c r="F5" s="61">
        <v>281.90476189999998</v>
      </c>
      <c r="G5" s="61" t="s">
        <v>110</v>
      </c>
      <c r="H5" s="61" t="s">
        <v>138</v>
      </c>
      <c r="I5" s="61">
        <v>1</v>
      </c>
      <c r="J5" s="58" t="str">
        <f>VLOOKUP(G5,' State_Mapping'!A:B,2,0)</f>
        <v>27-Maharashtra</v>
      </c>
      <c r="K5" s="58">
        <f t="shared" si="0"/>
        <v>0</v>
      </c>
      <c r="L5" s="58">
        <f t="shared" si="1"/>
        <v>0</v>
      </c>
      <c r="M5" s="58">
        <f t="shared" si="2"/>
        <v>14.095238094999999</v>
      </c>
      <c r="N5" s="58">
        <f t="shared" si="3"/>
        <v>295.999999995</v>
      </c>
      <c r="O5" s="66" t="b">
        <f t="shared" si="4"/>
        <v>1</v>
      </c>
      <c r="P5" s="40"/>
      <c r="Q5" s="40"/>
      <c r="R5" s="40"/>
      <c r="S5" s="40"/>
      <c r="T5" s="40"/>
      <c r="U5" s="40"/>
      <c r="V5" s="40"/>
      <c r="W5" s="58"/>
      <c r="X5" s="58"/>
      <c r="Y5" s="61">
        <v>1</v>
      </c>
    </row>
    <row r="6" spans="1:25" x14ac:dyDescent="0.3">
      <c r="A6" s="55" t="s">
        <v>141</v>
      </c>
      <c r="B6" s="61" t="s">
        <v>162</v>
      </c>
      <c r="C6" s="61" t="s">
        <v>174</v>
      </c>
      <c r="D6" s="61">
        <v>6111</v>
      </c>
      <c r="E6" s="61">
        <v>5</v>
      </c>
      <c r="F6" s="61">
        <v>374.2857143</v>
      </c>
      <c r="G6" s="61" t="s">
        <v>108</v>
      </c>
      <c r="H6" s="61" t="s">
        <v>138</v>
      </c>
      <c r="I6" s="61">
        <v>1</v>
      </c>
      <c r="J6" s="58" t="str">
        <f>VLOOKUP(G6,' State_Mapping'!A:B,2,0)</f>
        <v>32-Kerala</v>
      </c>
      <c r="K6" s="58">
        <f t="shared" si="0"/>
        <v>0</v>
      </c>
      <c r="L6" s="58">
        <f t="shared" si="1"/>
        <v>0</v>
      </c>
      <c r="M6" s="58">
        <f t="shared" si="2"/>
        <v>18.714285714999999</v>
      </c>
      <c r="N6" s="58">
        <f t="shared" si="3"/>
        <v>393.00000001500001</v>
      </c>
      <c r="O6" s="66" t="b">
        <f t="shared" si="4"/>
        <v>1</v>
      </c>
      <c r="P6" s="40"/>
      <c r="Q6" s="40"/>
      <c r="R6" s="40"/>
      <c r="S6" s="40"/>
      <c r="T6" s="40"/>
      <c r="U6" s="40"/>
      <c r="V6" s="40"/>
      <c r="W6" s="58"/>
      <c r="X6" s="58"/>
      <c r="Y6" s="61">
        <v>1</v>
      </c>
    </row>
    <row r="7" spans="1:25" x14ac:dyDescent="0.3">
      <c r="A7" s="55" t="s">
        <v>141</v>
      </c>
      <c r="B7" s="61" t="s">
        <v>160</v>
      </c>
      <c r="C7" s="61" t="s">
        <v>175</v>
      </c>
      <c r="D7" s="61">
        <v>6111</v>
      </c>
      <c r="E7" s="61">
        <v>5</v>
      </c>
      <c r="F7" s="61">
        <v>343.80952380000002</v>
      </c>
      <c r="G7" s="61" t="s">
        <v>110</v>
      </c>
      <c r="H7" s="61" t="s">
        <v>138</v>
      </c>
      <c r="I7" s="61">
        <v>1</v>
      </c>
      <c r="J7" s="58" t="str">
        <f>VLOOKUP(G7,' State_Mapping'!A:B,2,0)</f>
        <v>27-Maharashtra</v>
      </c>
      <c r="K7" s="58">
        <f t="shared" si="0"/>
        <v>0</v>
      </c>
      <c r="L7" s="58">
        <f t="shared" si="1"/>
        <v>0</v>
      </c>
      <c r="M7" s="58">
        <f t="shared" si="2"/>
        <v>17.190476190000002</v>
      </c>
      <c r="N7" s="58">
        <f t="shared" si="3"/>
        <v>360.99999999000005</v>
      </c>
      <c r="O7" s="66" t="b">
        <f t="shared" si="4"/>
        <v>1</v>
      </c>
      <c r="P7" s="40"/>
      <c r="Q7" s="40"/>
      <c r="R7" s="40"/>
      <c r="S7" s="40"/>
      <c r="T7" s="40"/>
      <c r="U7" s="40"/>
      <c r="V7" s="40"/>
      <c r="W7" s="58"/>
      <c r="X7" s="58"/>
      <c r="Y7" s="61">
        <v>1</v>
      </c>
    </row>
    <row r="8" spans="1:25" x14ac:dyDescent="0.3">
      <c r="A8" s="55" t="s">
        <v>141</v>
      </c>
      <c r="B8" s="61" t="s">
        <v>163</v>
      </c>
      <c r="C8" s="61" t="s">
        <v>176</v>
      </c>
      <c r="D8" s="61">
        <v>6111</v>
      </c>
      <c r="E8" s="61">
        <v>5</v>
      </c>
      <c r="F8" s="61">
        <v>265.7142857</v>
      </c>
      <c r="G8" s="61" t="s">
        <v>111</v>
      </c>
      <c r="H8" s="61" t="s">
        <v>138</v>
      </c>
      <c r="I8" s="61">
        <v>1</v>
      </c>
      <c r="J8" s="58" t="str">
        <f>VLOOKUP(G8,' State_Mapping'!A:B,2,0)</f>
        <v>37-Andhra Pradesh</v>
      </c>
      <c r="K8" s="58">
        <f t="shared" si="0"/>
        <v>0</v>
      </c>
      <c r="L8" s="58">
        <f t="shared" si="1"/>
        <v>0</v>
      </c>
      <c r="M8" s="58">
        <f t="shared" si="2"/>
        <v>13.285714285000001</v>
      </c>
      <c r="N8" s="58">
        <f t="shared" si="3"/>
        <v>278.99999998499999</v>
      </c>
      <c r="O8" s="66" t="b">
        <f t="shared" si="4"/>
        <v>1</v>
      </c>
      <c r="P8" s="40"/>
      <c r="Q8" s="40"/>
      <c r="R8" s="40"/>
      <c r="S8" s="40"/>
      <c r="T8" s="40"/>
      <c r="U8" s="40"/>
      <c r="V8" s="40"/>
      <c r="W8" s="58"/>
      <c r="X8" s="58"/>
      <c r="Y8" s="61">
        <v>1</v>
      </c>
    </row>
    <row r="9" spans="1:25" x14ac:dyDescent="0.3">
      <c r="A9" s="55" t="s">
        <v>141</v>
      </c>
      <c r="B9" s="61" t="s">
        <v>161</v>
      </c>
      <c r="C9" s="61" t="s">
        <v>177</v>
      </c>
      <c r="D9" s="61">
        <v>6111</v>
      </c>
      <c r="E9" s="61">
        <v>5</v>
      </c>
      <c r="F9" s="61">
        <v>303.80952380000002</v>
      </c>
      <c r="G9" s="61" t="s">
        <v>103</v>
      </c>
      <c r="H9" s="61" t="s">
        <v>138</v>
      </c>
      <c r="I9" s="61">
        <v>1</v>
      </c>
      <c r="J9" s="58" t="str">
        <f>VLOOKUP(G9,' State_Mapping'!A:B,2,0)</f>
        <v>33-Tamil Nadu</v>
      </c>
      <c r="K9" s="58">
        <f t="shared" si="0"/>
        <v>0</v>
      </c>
      <c r="L9" s="58">
        <f t="shared" si="1"/>
        <v>0</v>
      </c>
      <c r="M9" s="58">
        <f t="shared" si="2"/>
        <v>15.190476190000002</v>
      </c>
      <c r="N9" s="58">
        <f t="shared" si="3"/>
        <v>318.99999999000005</v>
      </c>
      <c r="O9" s="66" t="b">
        <f t="shared" si="4"/>
        <v>1</v>
      </c>
      <c r="P9" s="40"/>
      <c r="Q9" s="40"/>
      <c r="R9" s="40"/>
      <c r="S9" s="40"/>
      <c r="T9" s="40"/>
      <c r="U9" s="40"/>
      <c r="V9" s="40"/>
      <c r="W9" s="58"/>
      <c r="X9" s="58"/>
      <c r="Y9" s="61">
        <v>1</v>
      </c>
    </row>
    <row r="10" spans="1:25" x14ac:dyDescent="0.3">
      <c r="A10" s="55" t="s">
        <v>141</v>
      </c>
      <c r="B10" s="61" t="s">
        <v>164</v>
      </c>
      <c r="C10" s="61" t="s">
        <v>178</v>
      </c>
      <c r="D10" s="61">
        <v>6111</v>
      </c>
      <c r="E10" s="61">
        <v>5</v>
      </c>
      <c r="F10" s="61">
        <v>285.7142857</v>
      </c>
      <c r="G10" s="61" t="s">
        <v>105</v>
      </c>
      <c r="H10" s="61" t="s">
        <v>138</v>
      </c>
      <c r="I10" s="61">
        <v>1</v>
      </c>
      <c r="J10" s="58" t="str">
        <f>VLOOKUP(G10,' State_Mapping'!A:B,2,0)</f>
        <v>21-Odisha</v>
      </c>
      <c r="K10" s="58">
        <f t="shared" si="0"/>
        <v>0</v>
      </c>
      <c r="L10" s="58">
        <f t="shared" si="1"/>
        <v>0</v>
      </c>
      <c r="M10" s="58">
        <f t="shared" si="2"/>
        <v>14.285714285000001</v>
      </c>
      <c r="N10" s="58">
        <f t="shared" si="3"/>
        <v>299.99999998499999</v>
      </c>
      <c r="O10" s="66" t="b">
        <f t="shared" si="4"/>
        <v>1</v>
      </c>
      <c r="P10" s="40"/>
      <c r="Q10" s="40"/>
      <c r="R10" s="40"/>
      <c r="S10" s="40"/>
      <c r="T10" s="40"/>
      <c r="U10" s="40"/>
      <c r="V10" s="40"/>
      <c r="W10" s="58"/>
      <c r="X10" s="58"/>
      <c r="Y10" s="61">
        <v>1</v>
      </c>
    </row>
    <row r="11" spans="1:25" x14ac:dyDescent="0.3">
      <c r="A11" s="55" t="s">
        <v>141</v>
      </c>
      <c r="B11" s="61" t="s">
        <v>165</v>
      </c>
      <c r="C11" s="61" t="s">
        <v>179</v>
      </c>
      <c r="D11" s="61">
        <v>6111</v>
      </c>
      <c r="E11" s="61">
        <v>5</v>
      </c>
      <c r="F11" s="61">
        <v>352.38095240000001</v>
      </c>
      <c r="G11" s="61" t="s">
        <v>108</v>
      </c>
      <c r="H11" s="61" t="s">
        <v>138</v>
      </c>
      <c r="I11" s="61">
        <v>1</v>
      </c>
      <c r="J11" s="58" t="str">
        <f>VLOOKUP(G11,' State_Mapping'!A:B,2,0)</f>
        <v>32-Kerala</v>
      </c>
      <c r="K11" s="58">
        <f t="shared" si="0"/>
        <v>0</v>
      </c>
      <c r="L11" s="58">
        <f t="shared" si="1"/>
        <v>0</v>
      </c>
      <c r="M11" s="58">
        <f t="shared" si="2"/>
        <v>17.61904762</v>
      </c>
      <c r="N11" s="58">
        <f t="shared" si="3"/>
        <v>370.00000002000002</v>
      </c>
      <c r="O11" s="66" t="b">
        <f t="shared" si="4"/>
        <v>1</v>
      </c>
      <c r="P11" s="40"/>
      <c r="Q11" s="40"/>
      <c r="R11" s="40"/>
      <c r="S11" s="40"/>
      <c r="T11" s="40"/>
      <c r="U11" s="40"/>
      <c r="V11" s="40"/>
      <c r="W11" s="58"/>
      <c r="X11" s="58"/>
      <c r="Y11" s="61">
        <v>1</v>
      </c>
    </row>
    <row r="12" spans="1:25" x14ac:dyDescent="0.3">
      <c r="A12" s="55" t="s">
        <v>141</v>
      </c>
      <c r="B12" s="61" t="s">
        <v>162</v>
      </c>
      <c r="C12" s="61" t="s">
        <v>180</v>
      </c>
      <c r="D12" s="61">
        <v>611120</v>
      </c>
      <c r="E12" s="61">
        <v>5</v>
      </c>
      <c r="F12" s="61">
        <v>432.38095240000001</v>
      </c>
      <c r="G12" s="61" t="s">
        <v>109</v>
      </c>
      <c r="H12" s="61" t="s">
        <v>138</v>
      </c>
      <c r="I12" s="61">
        <v>1</v>
      </c>
      <c r="J12" s="58" t="str">
        <f>VLOOKUP(G12,' State_Mapping'!A:B,2,0)</f>
        <v>09-Uttar Pradesh</v>
      </c>
      <c r="K12" s="58">
        <f t="shared" si="0"/>
        <v>0</v>
      </c>
      <c r="L12" s="58">
        <f t="shared" si="1"/>
        <v>0</v>
      </c>
      <c r="M12" s="58">
        <f t="shared" si="2"/>
        <v>21.619047620000003</v>
      </c>
      <c r="N12" s="58">
        <f t="shared" si="3"/>
        <v>454.00000002000002</v>
      </c>
      <c r="O12" s="66" t="b">
        <f t="shared" si="4"/>
        <v>1</v>
      </c>
      <c r="P12" s="40"/>
      <c r="Q12" s="40"/>
      <c r="R12" s="40"/>
      <c r="S12" s="40"/>
      <c r="T12" s="40"/>
      <c r="U12" s="40"/>
      <c r="V12" s="40"/>
      <c r="W12" s="58"/>
      <c r="X12" s="58"/>
      <c r="Y12" s="61">
        <v>1</v>
      </c>
    </row>
    <row r="13" spans="1:25" x14ac:dyDescent="0.3">
      <c r="A13" s="55" t="s">
        <v>141</v>
      </c>
      <c r="B13" s="61" t="s">
        <v>159</v>
      </c>
      <c r="C13" s="61" t="s">
        <v>181</v>
      </c>
      <c r="D13" s="61">
        <v>6111</v>
      </c>
      <c r="E13" s="61">
        <v>5</v>
      </c>
      <c r="F13" s="61">
        <v>320.952381</v>
      </c>
      <c r="G13" s="61" t="s">
        <v>107</v>
      </c>
      <c r="H13" s="61" t="s">
        <v>138</v>
      </c>
      <c r="I13" s="61">
        <v>1</v>
      </c>
      <c r="J13" s="58" t="str">
        <f>VLOOKUP(G13,' State_Mapping'!A:B,2,0)</f>
        <v>18-Assam</v>
      </c>
      <c r="K13" s="58">
        <f t="shared" si="0"/>
        <v>0</v>
      </c>
      <c r="L13" s="58">
        <f t="shared" si="1"/>
        <v>0</v>
      </c>
      <c r="M13" s="58">
        <f t="shared" si="2"/>
        <v>16.047619050000002</v>
      </c>
      <c r="N13" s="58">
        <f t="shared" si="3"/>
        <v>337.00000004999998</v>
      </c>
      <c r="O13" s="66" t="b">
        <f t="shared" si="4"/>
        <v>1</v>
      </c>
      <c r="P13" s="40"/>
      <c r="Q13" s="40"/>
      <c r="R13" s="40"/>
      <c r="S13" s="40"/>
      <c r="T13" s="40"/>
      <c r="U13" s="40"/>
      <c r="V13" s="40"/>
      <c r="W13" s="58"/>
      <c r="X13" s="58"/>
      <c r="Y13" s="61">
        <v>1</v>
      </c>
    </row>
    <row r="14" spans="1:25" x14ac:dyDescent="0.3">
      <c r="A14" s="55" t="s">
        <v>141</v>
      </c>
      <c r="B14" s="61" t="s">
        <v>163</v>
      </c>
      <c r="C14" s="61" t="s">
        <v>182</v>
      </c>
      <c r="D14" s="61">
        <v>611120</v>
      </c>
      <c r="E14" s="61">
        <v>5</v>
      </c>
      <c r="F14" s="61">
        <v>433.33333329999999</v>
      </c>
      <c r="G14" s="61" t="s">
        <v>113</v>
      </c>
      <c r="H14" s="61" t="s">
        <v>138</v>
      </c>
      <c r="I14" s="61">
        <v>1</v>
      </c>
      <c r="J14" s="58" t="str">
        <f>VLOOKUP(G14,' State_Mapping'!A:B,2,0)</f>
        <v>23-Madhya Pradesh</v>
      </c>
      <c r="K14" s="58">
        <f t="shared" si="0"/>
        <v>0</v>
      </c>
      <c r="L14" s="58">
        <f t="shared" si="1"/>
        <v>0</v>
      </c>
      <c r="M14" s="58">
        <f t="shared" si="2"/>
        <v>21.666666665000001</v>
      </c>
      <c r="N14" s="58">
        <f t="shared" si="3"/>
        <v>454.99999996499997</v>
      </c>
      <c r="O14" s="66" t="b">
        <f t="shared" si="4"/>
        <v>1</v>
      </c>
      <c r="P14" s="40"/>
      <c r="Q14" s="40"/>
      <c r="R14" s="40"/>
      <c r="S14" s="40"/>
      <c r="T14" s="40"/>
      <c r="U14" s="40"/>
      <c r="V14" s="40"/>
      <c r="W14" s="58"/>
      <c r="X14" s="58"/>
      <c r="Y14" s="61">
        <v>1</v>
      </c>
    </row>
    <row r="15" spans="1:25" x14ac:dyDescent="0.3">
      <c r="A15" s="55" t="s">
        <v>141</v>
      </c>
      <c r="B15" s="61" t="s">
        <v>163</v>
      </c>
      <c r="C15" s="61" t="s">
        <v>183</v>
      </c>
      <c r="D15" s="61">
        <v>6111</v>
      </c>
      <c r="E15" s="61">
        <v>5</v>
      </c>
      <c r="F15" s="61">
        <v>295.23809519999998</v>
      </c>
      <c r="G15" s="61" t="s">
        <v>114</v>
      </c>
      <c r="H15" s="61" t="s">
        <v>138</v>
      </c>
      <c r="I15" s="61">
        <v>1</v>
      </c>
      <c r="J15" s="58" t="str">
        <f>VLOOKUP(G15,' State_Mapping'!A:B,2,0)</f>
        <v>36-Telangana</v>
      </c>
      <c r="K15" s="58">
        <f t="shared" si="0"/>
        <v>0</v>
      </c>
      <c r="L15" s="58">
        <f t="shared" si="1"/>
        <v>0</v>
      </c>
      <c r="M15" s="58">
        <f t="shared" si="2"/>
        <v>14.76190476</v>
      </c>
      <c r="N15" s="58">
        <f t="shared" si="3"/>
        <v>309.99999995999997</v>
      </c>
      <c r="O15" s="66" t="b">
        <f t="shared" si="4"/>
        <v>1</v>
      </c>
      <c r="P15" s="40"/>
      <c r="Q15" s="40"/>
      <c r="R15" s="40"/>
      <c r="S15" s="40"/>
      <c r="T15" s="40"/>
      <c r="U15" s="40"/>
      <c r="V15" s="40"/>
      <c r="W15" s="58"/>
      <c r="X15" s="58"/>
      <c r="Y15" s="61">
        <v>1</v>
      </c>
    </row>
    <row r="16" spans="1:25" x14ac:dyDescent="0.3">
      <c r="A16" s="55" t="s">
        <v>141</v>
      </c>
      <c r="B16" s="61" t="s">
        <v>166</v>
      </c>
      <c r="C16" s="61" t="s">
        <v>184</v>
      </c>
      <c r="D16" s="61">
        <v>6111</v>
      </c>
      <c r="E16" s="61">
        <v>5</v>
      </c>
      <c r="F16" s="61">
        <v>355.23809519999998</v>
      </c>
      <c r="G16" s="61" t="s">
        <v>103</v>
      </c>
      <c r="H16" s="61" t="s">
        <v>138</v>
      </c>
      <c r="I16" s="61">
        <v>1</v>
      </c>
      <c r="J16" s="58" t="str">
        <f>VLOOKUP(G16,' State_Mapping'!A:B,2,0)</f>
        <v>33-Tamil Nadu</v>
      </c>
      <c r="K16" s="58">
        <f t="shared" si="0"/>
        <v>0</v>
      </c>
      <c r="L16" s="58">
        <f t="shared" si="1"/>
        <v>0</v>
      </c>
      <c r="M16" s="58">
        <f t="shared" si="2"/>
        <v>17.76190476</v>
      </c>
      <c r="N16" s="58">
        <f t="shared" si="3"/>
        <v>372.99999995999997</v>
      </c>
      <c r="O16" s="66" t="b">
        <f t="shared" si="4"/>
        <v>1</v>
      </c>
      <c r="P16" s="40"/>
      <c r="Q16" s="40"/>
      <c r="R16" s="40"/>
      <c r="S16" s="40"/>
      <c r="T16" s="40"/>
      <c r="U16" s="40"/>
      <c r="V16" s="40"/>
      <c r="W16" s="58"/>
      <c r="X16" s="58"/>
      <c r="Y16" s="61">
        <v>1</v>
      </c>
    </row>
    <row r="17" spans="1:25" x14ac:dyDescent="0.3">
      <c r="A17" s="55" t="s">
        <v>141</v>
      </c>
      <c r="B17" s="61" t="s">
        <v>162</v>
      </c>
      <c r="C17" s="61" t="s">
        <v>185</v>
      </c>
      <c r="D17" s="61">
        <v>611120</v>
      </c>
      <c r="E17" s="61">
        <v>5</v>
      </c>
      <c r="F17" s="61">
        <v>406.66666670000001</v>
      </c>
      <c r="G17" s="61" t="s">
        <v>102</v>
      </c>
      <c r="H17" s="61" t="s">
        <v>138</v>
      </c>
      <c r="I17" s="61">
        <v>1</v>
      </c>
      <c r="J17" s="58" t="str">
        <f>VLOOKUP(G17,' State_Mapping'!A:B,2,0)</f>
        <v>10-Bihar</v>
      </c>
      <c r="K17" s="58">
        <f t="shared" si="0"/>
        <v>0</v>
      </c>
      <c r="L17" s="58">
        <f t="shared" si="1"/>
        <v>0</v>
      </c>
      <c r="M17" s="58">
        <f t="shared" si="2"/>
        <v>20.333333335000003</v>
      </c>
      <c r="N17" s="58">
        <f t="shared" si="3"/>
        <v>427.00000003500003</v>
      </c>
      <c r="O17" s="66" t="b">
        <f t="shared" si="4"/>
        <v>1</v>
      </c>
      <c r="P17" s="40"/>
      <c r="Q17" s="40"/>
      <c r="R17" s="40"/>
      <c r="S17" s="40"/>
      <c r="T17" s="40"/>
      <c r="U17" s="40"/>
      <c r="V17" s="40"/>
      <c r="W17" s="58"/>
      <c r="X17" s="58"/>
      <c r="Y17" s="61">
        <v>1</v>
      </c>
    </row>
    <row r="18" spans="1:25" x14ac:dyDescent="0.3">
      <c r="A18" s="55" t="s">
        <v>141</v>
      </c>
      <c r="B18" s="61" t="s">
        <v>167</v>
      </c>
      <c r="C18" s="61" t="s">
        <v>186</v>
      </c>
      <c r="D18" s="61">
        <v>6111</v>
      </c>
      <c r="E18" s="61">
        <v>5</v>
      </c>
      <c r="F18" s="61">
        <v>300.952381</v>
      </c>
      <c r="G18" s="61" t="s">
        <v>104</v>
      </c>
      <c r="H18" s="61" t="s">
        <v>138</v>
      </c>
      <c r="I18" s="61">
        <v>1</v>
      </c>
      <c r="J18" s="58" t="str">
        <f>VLOOKUP(G18,' State_Mapping'!A:B,2,0)</f>
        <v>29-Karnataka</v>
      </c>
      <c r="K18" s="58">
        <f t="shared" si="0"/>
        <v>0</v>
      </c>
      <c r="L18" s="58">
        <f t="shared" si="1"/>
        <v>0</v>
      </c>
      <c r="M18" s="58">
        <f t="shared" si="2"/>
        <v>15.047619050000002</v>
      </c>
      <c r="N18" s="58">
        <f t="shared" si="3"/>
        <v>316.00000004999998</v>
      </c>
      <c r="O18" s="66" t="b">
        <f t="shared" si="4"/>
        <v>1</v>
      </c>
      <c r="P18" s="40"/>
      <c r="Q18" s="40"/>
      <c r="R18" s="40"/>
      <c r="S18" s="40"/>
      <c r="T18" s="40"/>
      <c r="U18" s="40"/>
      <c r="V18" s="40"/>
      <c r="W18" s="58"/>
      <c r="X18" s="58"/>
      <c r="Y18" s="61">
        <v>1</v>
      </c>
    </row>
    <row r="19" spans="1:25" x14ac:dyDescent="0.3">
      <c r="A19" s="55" t="s">
        <v>141</v>
      </c>
      <c r="B19" s="61" t="s">
        <v>162</v>
      </c>
      <c r="C19" s="61" t="s">
        <v>187</v>
      </c>
      <c r="D19" s="61">
        <v>6111</v>
      </c>
      <c r="E19" s="61">
        <v>5</v>
      </c>
      <c r="F19" s="61">
        <v>362.85714289999999</v>
      </c>
      <c r="G19" s="61" t="s">
        <v>103</v>
      </c>
      <c r="H19" s="61" t="s">
        <v>138</v>
      </c>
      <c r="I19" s="61">
        <v>1</v>
      </c>
      <c r="J19" s="58" t="str">
        <f>VLOOKUP(G19,' State_Mapping'!A:B,2,0)</f>
        <v>33-Tamil Nadu</v>
      </c>
      <c r="K19" s="58">
        <f t="shared" si="0"/>
        <v>0</v>
      </c>
      <c r="L19" s="58">
        <f t="shared" si="1"/>
        <v>0</v>
      </c>
      <c r="M19" s="58">
        <f t="shared" si="2"/>
        <v>18.142857145000001</v>
      </c>
      <c r="N19" s="58">
        <f t="shared" si="3"/>
        <v>381.00000004499998</v>
      </c>
      <c r="O19" s="66" t="b">
        <f t="shared" si="4"/>
        <v>1</v>
      </c>
      <c r="P19" s="40"/>
      <c r="Q19" s="40"/>
      <c r="R19" s="40"/>
      <c r="S19" s="40"/>
      <c r="T19" s="40"/>
      <c r="U19" s="40"/>
      <c r="V19" s="40"/>
      <c r="W19" s="58"/>
      <c r="X19" s="58"/>
      <c r="Y19" s="61">
        <v>1</v>
      </c>
    </row>
    <row r="20" spans="1:25" x14ac:dyDescent="0.3">
      <c r="A20" s="55" t="s">
        <v>141</v>
      </c>
      <c r="B20" s="61" t="s">
        <v>162</v>
      </c>
      <c r="C20" s="61" t="s">
        <v>188</v>
      </c>
      <c r="D20" s="61">
        <v>611120</v>
      </c>
      <c r="E20" s="61">
        <v>5</v>
      </c>
      <c r="F20" s="61">
        <v>420.952381</v>
      </c>
      <c r="G20" s="61" t="s">
        <v>102</v>
      </c>
      <c r="H20" s="61" t="s">
        <v>138</v>
      </c>
      <c r="I20" s="61">
        <v>1</v>
      </c>
      <c r="J20" s="58" t="str">
        <f>VLOOKUP(G20,' State_Mapping'!A:B,2,0)</f>
        <v>10-Bihar</v>
      </c>
      <c r="K20" s="58">
        <f t="shared" si="0"/>
        <v>0</v>
      </c>
      <c r="L20" s="58">
        <f t="shared" si="1"/>
        <v>0</v>
      </c>
      <c r="M20" s="58">
        <f t="shared" si="2"/>
        <v>21.047619050000002</v>
      </c>
      <c r="N20" s="58">
        <f t="shared" si="3"/>
        <v>442.00000004999998</v>
      </c>
      <c r="O20" s="66" t="b">
        <f t="shared" si="4"/>
        <v>1</v>
      </c>
      <c r="P20" s="40"/>
      <c r="Q20" s="40"/>
      <c r="R20" s="40"/>
      <c r="S20" s="40"/>
      <c r="T20" s="40"/>
      <c r="U20" s="40"/>
      <c r="V20" s="40"/>
      <c r="W20" s="58"/>
      <c r="X20" s="58"/>
      <c r="Y20" s="61">
        <v>1</v>
      </c>
    </row>
    <row r="21" spans="1:25" x14ac:dyDescent="0.3">
      <c r="A21" s="55" t="s">
        <v>141</v>
      </c>
      <c r="B21" s="61" t="s">
        <v>168</v>
      </c>
      <c r="C21" s="61" t="s">
        <v>189</v>
      </c>
      <c r="D21" s="61">
        <v>6111</v>
      </c>
      <c r="E21" s="61">
        <v>5</v>
      </c>
      <c r="F21" s="61">
        <v>284.76190480000002</v>
      </c>
      <c r="G21" s="61" t="s">
        <v>111</v>
      </c>
      <c r="H21" s="61" t="s">
        <v>138</v>
      </c>
      <c r="I21" s="61">
        <v>1</v>
      </c>
      <c r="J21" s="58" t="str">
        <f>VLOOKUP(G21,' State_Mapping'!A:B,2,0)</f>
        <v>37-Andhra Pradesh</v>
      </c>
      <c r="K21" s="58">
        <f t="shared" si="0"/>
        <v>0</v>
      </c>
      <c r="L21" s="58">
        <f t="shared" si="1"/>
        <v>0</v>
      </c>
      <c r="M21" s="58">
        <f t="shared" si="2"/>
        <v>14.238095240000002</v>
      </c>
      <c r="N21" s="58">
        <f t="shared" si="3"/>
        <v>299.00000004000003</v>
      </c>
      <c r="O21" s="66" t="b">
        <f t="shared" si="4"/>
        <v>1</v>
      </c>
      <c r="P21" s="40"/>
      <c r="Q21" s="40"/>
      <c r="R21" s="40"/>
      <c r="S21" s="40"/>
      <c r="T21" s="40"/>
      <c r="U21" s="40"/>
      <c r="V21" s="40"/>
      <c r="W21" s="58"/>
      <c r="X21" s="58"/>
      <c r="Y21" s="61">
        <v>1</v>
      </c>
    </row>
    <row r="22" spans="1:25" x14ac:dyDescent="0.3">
      <c r="A22" s="55" t="s">
        <v>141</v>
      </c>
      <c r="B22" s="61" t="s">
        <v>164</v>
      </c>
      <c r="C22" s="61" t="s">
        <v>190</v>
      </c>
      <c r="D22" s="61">
        <v>6111</v>
      </c>
      <c r="E22" s="61">
        <v>5</v>
      </c>
      <c r="F22" s="61">
        <v>281.90476189999998</v>
      </c>
      <c r="G22" s="61" t="s">
        <v>108</v>
      </c>
      <c r="H22" s="61" t="s">
        <v>138</v>
      </c>
      <c r="I22" s="61">
        <v>1</v>
      </c>
      <c r="J22" s="58" t="str">
        <f>VLOOKUP(G22,' State_Mapping'!A:B,2,0)</f>
        <v>32-Kerala</v>
      </c>
      <c r="K22" s="58">
        <f t="shared" si="0"/>
        <v>0</v>
      </c>
      <c r="L22" s="58">
        <f t="shared" si="1"/>
        <v>0</v>
      </c>
      <c r="M22" s="58">
        <f t="shared" si="2"/>
        <v>14.095238094999999</v>
      </c>
      <c r="N22" s="58">
        <f t="shared" si="3"/>
        <v>295.999999995</v>
      </c>
      <c r="O22" s="66" t="b">
        <f t="shared" si="4"/>
        <v>1</v>
      </c>
      <c r="P22" s="40"/>
      <c r="Q22" s="40"/>
      <c r="R22" s="40"/>
      <c r="S22" s="40"/>
      <c r="T22" s="40"/>
      <c r="U22" s="40"/>
      <c r="V22" s="40"/>
      <c r="W22" s="58"/>
      <c r="X22" s="58" t="s">
        <v>23</v>
      </c>
      <c r="Y22" s="61">
        <v>1</v>
      </c>
    </row>
    <row r="23" spans="1:25" x14ac:dyDescent="0.3">
      <c r="A23" s="55" t="s">
        <v>141</v>
      </c>
      <c r="B23" s="61" t="s">
        <v>164</v>
      </c>
      <c r="C23" s="61" t="s">
        <v>191</v>
      </c>
      <c r="D23" s="61">
        <v>6111</v>
      </c>
      <c r="E23" s="61">
        <v>5</v>
      </c>
      <c r="F23" s="61">
        <v>363.80952380000002</v>
      </c>
      <c r="G23" s="61" t="s">
        <v>108</v>
      </c>
      <c r="H23" s="61" t="s">
        <v>138</v>
      </c>
      <c r="I23" s="61">
        <v>1</v>
      </c>
      <c r="J23" s="58" t="str">
        <f>VLOOKUP(G23,' State_Mapping'!A:B,2,0)</f>
        <v>32-Kerala</v>
      </c>
      <c r="K23" s="58">
        <f t="shared" si="0"/>
        <v>0</v>
      </c>
      <c r="L23" s="58">
        <f t="shared" si="1"/>
        <v>0</v>
      </c>
      <c r="M23" s="58">
        <f t="shared" si="2"/>
        <v>18.190476190000002</v>
      </c>
      <c r="N23" s="58">
        <f t="shared" si="3"/>
        <v>381.99999999000005</v>
      </c>
      <c r="O23" s="66" t="b">
        <f t="shared" si="4"/>
        <v>1</v>
      </c>
      <c r="P23" s="40"/>
      <c r="Q23" s="40"/>
      <c r="R23" s="40"/>
      <c r="S23" s="40"/>
      <c r="T23" s="40"/>
      <c r="U23" s="40"/>
      <c r="V23" s="40"/>
      <c r="W23" s="58"/>
      <c r="X23" s="58"/>
      <c r="Y23" s="61">
        <v>1</v>
      </c>
    </row>
    <row r="24" spans="1:25" x14ac:dyDescent="0.3">
      <c r="A24" s="55" t="s">
        <v>141</v>
      </c>
      <c r="B24" s="61" t="s">
        <v>159</v>
      </c>
      <c r="C24" s="61" t="s">
        <v>192</v>
      </c>
      <c r="D24" s="61">
        <v>6111</v>
      </c>
      <c r="E24" s="61">
        <v>5</v>
      </c>
      <c r="F24" s="61">
        <v>362.85714289999999</v>
      </c>
      <c r="G24" s="61" t="s">
        <v>103</v>
      </c>
      <c r="H24" s="61" t="s">
        <v>138</v>
      </c>
      <c r="I24" s="61">
        <v>1</v>
      </c>
      <c r="J24" s="58" t="str">
        <f>VLOOKUP(G24,' State_Mapping'!A:B,2,0)</f>
        <v>33-Tamil Nadu</v>
      </c>
      <c r="K24" s="58">
        <f t="shared" si="0"/>
        <v>0</v>
      </c>
      <c r="L24" s="58">
        <f t="shared" si="1"/>
        <v>0</v>
      </c>
      <c r="M24" s="58">
        <f t="shared" si="2"/>
        <v>18.142857145000001</v>
      </c>
      <c r="N24" s="58">
        <f t="shared" si="3"/>
        <v>381.00000004499998</v>
      </c>
      <c r="O24" s="66" t="b">
        <f t="shared" si="4"/>
        <v>1</v>
      </c>
      <c r="P24" s="40"/>
      <c r="Q24" s="40"/>
      <c r="R24" s="40"/>
      <c r="S24" s="40"/>
      <c r="T24" s="40"/>
      <c r="U24" s="40"/>
      <c r="V24" s="40"/>
      <c r="W24" s="58"/>
      <c r="X24" s="58"/>
      <c r="Y24" s="61">
        <v>1</v>
      </c>
    </row>
    <row r="25" spans="1:25" x14ac:dyDescent="0.3">
      <c r="A25" s="55" t="s">
        <v>141</v>
      </c>
      <c r="B25" s="61" t="s">
        <v>162</v>
      </c>
      <c r="C25" s="61" t="s">
        <v>193</v>
      </c>
      <c r="D25" s="61">
        <v>611120</v>
      </c>
      <c r="E25" s="61">
        <v>5</v>
      </c>
      <c r="F25" s="61">
        <v>440.952381</v>
      </c>
      <c r="G25" s="61" t="s">
        <v>106</v>
      </c>
      <c r="H25" s="61" t="s">
        <v>138</v>
      </c>
      <c r="I25" s="61">
        <v>1</v>
      </c>
      <c r="J25" s="58" t="str">
        <f>VLOOKUP(G25,' State_Mapping'!A:B,2,0)</f>
        <v>19-West Bengal</v>
      </c>
      <c r="K25" s="58">
        <f t="shared" si="0"/>
        <v>11.023809525000001</v>
      </c>
      <c r="L25" s="58">
        <f t="shared" si="1"/>
        <v>11.023809525000001</v>
      </c>
      <c r="M25" s="58">
        <f t="shared" si="2"/>
        <v>0</v>
      </c>
      <c r="N25" s="58">
        <f t="shared" si="3"/>
        <v>463.00000004999998</v>
      </c>
      <c r="O25" s="66" t="b">
        <f t="shared" si="4"/>
        <v>1</v>
      </c>
      <c r="P25" s="40"/>
      <c r="Q25" s="40"/>
      <c r="R25" s="40"/>
      <c r="S25" s="40"/>
      <c r="T25" s="40"/>
      <c r="U25" s="40"/>
      <c r="V25" s="40"/>
      <c r="W25" s="58"/>
      <c r="X25" s="58"/>
      <c r="Y25" s="61">
        <v>1</v>
      </c>
    </row>
    <row r="26" spans="1:25" x14ac:dyDescent="0.3">
      <c r="A26" s="55" t="s">
        <v>141</v>
      </c>
      <c r="B26" s="61" t="s">
        <v>168</v>
      </c>
      <c r="C26" s="61" t="s">
        <v>194</v>
      </c>
      <c r="D26" s="61">
        <v>6111</v>
      </c>
      <c r="E26" s="61">
        <v>5</v>
      </c>
      <c r="F26" s="61">
        <v>342.85714289999999</v>
      </c>
      <c r="G26" s="61" t="s">
        <v>104</v>
      </c>
      <c r="H26" s="61" t="s">
        <v>138</v>
      </c>
      <c r="I26" s="61">
        <v>1</v>
      </c>
      <c r="J26" s="58" t="str">
        <f>VLOOKUP(G26,' State_Mapping'!A:B,2,0)</f>
        <v>29-Karnataka</v>
      </c>
      <c r="K26" s="58">
        <f t="shared" si="0"/>
        <v>0</v>
      </c>
      <c r="L26" s="58">
        <f t="shared" si="1"/>
        <v>0</v>
      </c>
      <c r="M26" s="58">
        <f t="shared" si="2"/>
        <v>17.142857145000001</v>
      </c>
      <c r="N26" s="58">
        <f t="shared" si="3"/>
        <v>360.00000004499998</v>
      </c>
      <c r="O26" s="66" t="b">
        <f t="shared" si="4"/>
        <v>1</v>
      </c>
      <c r="P26" s="40"/>
      <c r="Q26" s="40"/>
      <c r="R26" s="40"/>
      <c r="S26" s="40"/>
      <c r="T26" s="40"/>
      <c r="U26" s="40"/>
      <c r="V26" s="40"/>
      <c r="W26" s="58"/>
      <c r="X26" s="58"/>
      <c r="Y26" s="61">
        <v>1</v>
      </c>
    </row>
    <row r="27" spans="1:25" x14ac:dyDescent="0.3">
      <c r="A27" s="55" t="s">
        <v>141</v>
      </c>
      <c r="B27" s="61" t="s">
        <v>162</v>
      </c>
      <c r="C27" s="61" t="s">
        <v>195</v>
      </c>
      <c r="D27" s="61">
        <v>611120</v>
      </c>
      <c r="E27" s="61">
        <v>5</v>
      </c>
      <c r="F27" s="61">
        <v>455.23809519999998</v>
      </c>
      <c r="G27" s="61" t="s">
        <v>116</v>
      </c>
      <c r="H27" s="61" t="s">
        <v>138</v>
      </c>
      <c r="I27" s="61">
        <v>1</v>
      </c>
      <c r="J27" s="58" t="str">
        <f>VLOOKUP(G27,' State_Mapping'!A:B,2,0)</f>
        <v>16-Tripura</v>
      </c>
      <c r="K27" s="58">
        <f t="shared" si="0"/>
        <v>0</v>
      </c>
      <c r="L27" s="58">
        <f t="shared" si="1"/>
        <v>0</v>
      </c>
      <c r="M27" s="58">
        <f t="shared" si="2"/>
        <v>22.76190476</v>
      </c>
      <c r="N27" s="58">
        <f t="shared" si="3"/>
        <v>477.99999995999997</v>
      </c>
      <c r="O27" s="66" t="b">
        <f t="shared" si="4"/>
        <v>1</v>
      </c>
      <c r="P27" s="40"/>
      <c r="Q27" s="40"/>
      <c r="R27" s="40"/>
      <c r="S27" s="40"/>
      <c r="T27" s="40"/>
      <c r="U27" s="40"/>
      <c r="V27" s="40"/>
      <c r="W27" s="58"/>
      <c r="X27" s="58"/>
      <c r="Y27" s="61">
        <v>1</v>
      </c>
    </row>
    <row r="28" spans="1:25" x14ac:dyDescent="0.3">
      <c r="A28" s="55" t="s">
        <v>141</v>
      </c>
      <c r="B28" s="61" t="s">
        <v>166</v>
      </c>
      <c r="C28" s="61" t="s">
        <v>196</v>
      </c>
      <c r="D28" s="61">
        <v>6111</v>
      </c>
      <c r="E28" s="61">
        <v>5</v>
      </c>
      <c r="F28" s="61">
        <v>316.19047619999998</v>
      </c>
      <c r="G28" s="61" t="s">
        <v>106</v>
      </c>
      <c r="H28" s="61" t="s">
        <v>138</v>
      </c>
      <c r="I28" s="61">
        <v>1</v>
      </c>
      <c r="J28" s="58" t="str">
        <f>VLOOKUP(G28,' State_Mapping'!A:B,2,0)</f>
        <v>19-West Bengal</v>
      </c>
      <c r="K28" s="58">
        <f t="shared" si="0"/>
        <v>7.904761905</v>
      </c>
      <c r="L28" s="58">
        <f t="shared" si="1"/>
        <v>7.904761905</v>
      </c>
      <c r="M28" s="58">
        <f t="shared" si="2"/>
        <v>0</v>
      </c>
      <c r="N28" s="58">
        <f t="shared" si="3"/>
        <v>332.00000000999995</v>
      </c>
      <c r="O28" s="66" t="b">
        <f t="shared" si="4"/>
        <v>1</v>
      </c>
      <c r="P28" s="40"/>
      <c r="Q28" s="40"/>
      <c r="R28" s="40"/>
      <c r="S28" s="40"/>
      <c r="T28" s="40"/>
      <c r="U28" s="40"/>
      <c r="V28" s="40"/>
      <c r="W28" s="58"/>
      <c r="X28" s="58"/>
      <c r="Y28" s="61">
        <v>1</v>
      </c>
    </row>
    <row r="29" spans="1:25" x14ac:dyDescent="0.3">
      <c r="A29" s="55" t="s">
        <v>141</v>
      </c>
      <c r="B29" s="61" t="s">
        <v>169</v>
      </c>
      <c r="C29" s="61" t="s">
        <v>197</v>
      </c>
      <c r="D29" s="61">
        <v>6111</v>
      </c>
      <c r="E29" s="61">
        <v>5</v>
      </c>
      <c r="F29" s="61">
        <v>299.047619</v>
      </c>
      <c r="G29" s="61" t="s">
        <v>103</v>
      </c>
      <c r="H29" s="61" t="s">
        <v>138</v>
      </c>
      <c r="I29" s="61">
        <v>1</v>
      </c>
      <c r="J29" s="58" t="str">
        <f>VLOOKUP(G29,' State_Mapping'!A:B,2,0)</f>
        <v>33-Tamil Nadu</v>
      </c>
      <c r="K29" s="58">
        <f t="shared" si="0"/>
        <v>0</v>
      </c>
      <c r="L29" s="58">
        <f t="shared" si="1"/>
        <v>0</v>
      </c>
      <c r="M29" s="58">
        <f t="shared" si="2"/>
        <v>14.95238095</v>
      </c>
      <c r="N29" s="58">
        <f t="shared" si="3"/>
        <v>313.99999995000002</v>
      </c>
      <c r="O29" s="66" t="b">
        <f t="shared" si="4"/>
        <v>1</v>
      </c>
      <c r="P29" s="40"/>
      <c r="Q29" s="40"/>
      <c r="R29" s="40"/>
      <c r="S29" s="40"/>
      <c r="T29" s="40"/>
      <c r="U29" s="40"/>
      <c r="V29" s="40"/>
      <c r="W29" s="58"/>
      <c r="X29" s="58"/>
      <c r="Y29" s="61">
        <v>1</v>
      </c>
    </row>
    <row r="30" spans="1:25" x14ac:dyDescent="0.3">
      <c r="A30" s="55" t="s">
        <v>141</v>
      </c>
      <c r="B30" s="61" t="s">
        <v>162</v>
      </c>
      <c r="C30" s="61" t="s">
        <v>198</v>
      </c>
      <c r="D30" s="61">
        <v>6111</v>
      </c>
      <c r="E30" s="61">
        <v>5</v>
      </c>
      <c r="F30" s="61">
        <v>324.76190480000002</v>
      </c>
      <c r="G30" s="61" t="s">
        <v>110</v>
      </c>
      <c r="H30" s="61" t="s">
        <v>138</v>
      </c>
      <c r="I30" s="61">
        <v>1</v>
      </c>
      <c r="J30" s="58" t="str">
        <f>VLOOKUP(G30,' State_Mapping'!A:B,2,0)</f>
        <v>27-Maharashtra</v>
      </c>
      <c r="K30" s="58">
        <f t="shared" si="0"/>
        <v>0</v>
      </c>
      <c r="L30" s="58">
        <f t="shared" si="1"/>
        <v>0</v>
      </c>
      <c r="M30" s="58">
        <f t="shared" si="2"/>
        <v>16.238095240000003</v>
      </c>
      <c r="N30" s="58">
        <f t="shared" si="3"/>
        <v>341.00000004000003</v>
      </c>
      <c r="O30" s="66" t="b">
        <f t="shared" si="4"/>
        <v>1</v>
      </c>
      <c r="P30" s="40"/>
      <c r="Q30" s="40"/>
      <c r="R30" s="40"/>
      <c r="S30" s="40"/>
      <c r="T30" s="40"/>
      <c r="U30" s="40"/>
      <c r="V30" s="40"/>
      <c r="W30" s="58"/>
      <c r="X30" s="58"/>
      <c r="Y30" s="61">
        <v>1</v>
      </c>
    </row>
    <row r="31" spans="1:25" x14ac:dyDescent="0.3">
      <c r="A31" s="55" t="s">
        <v>141</v>
      </c>
      <c r="B31" s="61" t="s">
        <v>170</v>
      </c>
      <c r="C31" s="61" t="s">
        <v>199</v>
      </c>
      <c r="D31" s="61">
        <v>6111</v>
      </c>
      <c r="E31" s="61">
        <v>5</v>
      </c>
      <c r="F31" s="61">
        <v>380.952381</v>
      </c>
      <c r="G31" s="61" t="s">
        <v>111</v>
      </c>
      <c r="H31" s="61" t="s">
        <v>138</v>
      </c>
      <c r="I31" s="61">
        <v>1</v>
      </c>
      <c r="J31" s="58" t="str">
        <f>VLOOKUP(G31,' State_Mapping'!A:B,2,0)</f>
        <v>37-Andhra Pradesh</v>
      </c>
      <c r="K31" s="58">
        <f t="shared" si="0"/>
        <v>0</v>
      </c>
      <c r="L31" s="58">
        <f t="shared" si="1"/>
        <v>0</v>
      </c>
      <c r="M31" s="58">
        <f t="shared" si="2"/>
        <v>19.047619050000002</v>
      </c>
      <c r="N31" s="58">
        <f t="shared" si="3"/>
        <v>400.00000004999998</v>
      </c>
      <c r="O31" s="66" t="b">
        <f t="shared" si="4"/>
        <v>1</v>
      </c>
      <c r="P31" s="40"/>
      <c r="Q31" s="40"/>
      <c r="R31" s="40"/>
      <c r="S31" s="40"/>
      <c r="T31" s="40"/>
      <c r="U31" s="40"/>
      <c r="V31" s="40"/>
      <c r="W31" s="58"/>
      <c r="X31" s="58"/>
      <c r="Y31" s="61">
        <v>1</v>
      </c>
    </row>
    <row r="32" spans="1:25" x14ac:dyDescent="0.3">
      <c r="A32" s="55" t="s">
        <v>141</v>
      </c>
      <c r="B32" s="61" t="s">
        <v>159</v>
      </c>
      <c r="C32" s="61" t="s">
        <v>200</v>
      </c>
      <c r="D32" s="61">
        <v>611120</v>
      </c>
      <c r="E32" s="61">
        <v>5</v>
      </c>
      <c r="F32" s="61">
        <v>292.38095240000001</v>
      </c>
      <c r="G32" s="61" t="s">
        <v>119</v>
      </c>
      <c r="H32" s="61" t="s">
        <v>138</v>
      </c>
      <c r="I32" s="61">
        <v>1</v>
      </c>
      <c r="J32" s="58" t="str">
        <f>VLOOKUP(G32,' State_Mapping'!A:B,2,0)</f>
        <v>22-Chhattisgarh</v>
      </c>
      <c r="K32" s="58">
        <f t="shared" si="0"/>
        <v>0</v>
      </c>
      <c r="L32" s="58">
        <f t="shared" si="1"/>
        <v>0</v>
      </c>
      <c r="M32" s="58">
        <f t="shared" si="2"/>
        <v>14.619047620000002</v>
      </c>
      <c r="N32" s="58">
        <f t="shared" si="3"/>
        <v>307.00000002000002</v>
      </c>
      <c r="O32" s="66" t="b">
        <f t="shared" si="4"/>
        <v>1</v>
      </c>
      <c r="P32" s="40"/>
      <c r="Q32" s="40"/>
      <c r="R32" s="40"/>
      <c r="S32" s="40"/>
      <c r="T32" s="40"/>
      <c r="U32" s="40"/>
      <c r="V32" s="40"/>
      <c r="W32" s="58"/>
      <c r="X32" s="58"/>
      <c r="Y32" s="61">
        <v>1</v>
      </c>
    </row>
    <row r="33" spans="1:26" x14ac:dyDescent="0.3">
      <c r="A33" s="55" t="s">
        <v>141</v>
      </c>
      <c r="B33" s="61" t="s">
        <v>164</v>
      </c>
      <c r="C33" s="61" t="s">
        <v>201</v>
      </c>
      <c r="D33" s="61">
        <v>6111</v>
      </c>
      <c r="E33" s="61">
        <v>5</v>
      </c>
      <c r="F33" s="61">
        <v>347.61904759999999</v>
      </c>
      <c r="G33" s="61" t="s">
        <v>105</v>
      </c>
      <c r="H33" s="61" t="s">
        <v>138</v>
      </c>
      <c r="I33" s="61">
        <v>1</v>
      </c>
      <c r="J33" s="58" t="str">
        <f>VLOOKUP(G33,' State_Mapping'!A:B,2,0)</f>
        <v>21-Odisha</v>
      </c>
      <c r="K33" s="58">
        <f t="shared" si="0"/>
        <v>0</v>
      </c>
      <c r="L33" s="58">
        <f t="shared" si="1"/>
        <v>0</v>
      </c>
      <c r="M33" s="58">
        <f t="shared" si="2"/>
        <v>17.38095238</v>
      </c>
      <c r="N33" s="58">
        <f t="shared" si="3"/>
        <v>364.99999997999998</v>
      </c>
      <c r="O33" s="66" t="b">
        <f t="shared" si="4"/>
        <v>1</v>
      </c>
      <c r="P33" s="40"/>
      <c r="Q33" s="40"/>
      <c r="R33" s="40"/>
      <c r="S33" s="40"/>
      <c r="T33" s="40"/>
      <c r="U33" s="40"/>
      <c r="V33" s="40"/>
      <c r="W33" s="58"/>
      <c r="X33" s="58"/>
      <c r="Y33" s="61">
        <v>1</v>
      </c>
    </row>
    <row r="34" spans="1:26" x14ac:dyDescent="0.3">
      <c r="A34" s="55" t="s">
        <v>141</v>
      </c>
      <c r="B34" s="61" t="s">
        <v>167</v>
      </c>
      <c r="C34" s="61" t="s">
        <v>202</v>
      </c>
      <c r="D34" s="61">
        <v>6111</v>
      </c>
      <c r="E34" s="61">
        <v>5</v>
      </c>
      <c r="F34" s="61">
        <v>360.952381</v>
      </c>
      <c r="G34" s="61" t="s">
        <v>108</v>
      </c>
      <c r="H34" s="61" t="s">
        <v>138</v>
      </c>
      <c r="I34" s="61">
        <v>1</v>
      </c>
      <c r="J34" s="58" t="str">
        <f>VLOOKUP(G34,' State_Mapping'!A:B,2,0)</f>
        <v>32-Kerala</v>
      </c>
      <c r="K34" s="58">
        <f t="shared" si="0"/>
        <v>0</v>
      </c>
      <c r="L34" s="58">
        <f t="shared" si="1"/>
        <v>0</v>
      </c>
      <c r="M34" s="58">
        <f t="shared" si="2"/>
        <v>18.047619050000002</v>
      </c>
      <c r="N34" s="58">
        <f t="shared" si="3"/>
        <v>379.00000004999998</v>
      </c>
      <c r="O34" s="66" t="b">
        <f t="shared" si="4"/>
        <v>1</v>
      </c>
      <c r="P34" s="40"/>
      <c r="Q34" s="40"/>
      <c r="R34" s="40"/>
      <c r="S34" s="40"/>
      <c r="T34" s="40"/>
      <c r="U34" s="40"/>
      <c r="V34" s="40"/>
      <c r="W34" s="58"/>
      <c r="X34" s="58"/>
      <c r="Y34" s="61">
        <v>1</v>
      </c>
    </row>
    <row r="35" spans="1:26" x14ac:dyDescent="0.3">
      <c r="A35" s="55" t="s">
        <v>141</v>
      </c>
      <c r="B35" s="61" t="s">
        <v>160</v>
      </c>
      <c r="C35" s="61" t="s">
        <v>203</v>
      </c>
      <c r="D35" s="61">
        <v>611120</v>
      </c>
      <c r="E35" s="61">
        <v>5</v>
      </c>
      <c r="F35" s="61">
        <v>416.19047619999998</v>
      </c>
      <c r="G35" s="61" t="s">
        <v>115</v>
      </c>
      <c r="H35" s="61" t="s">
        <v>138</v>
      </c>
      <c r="I35" s="61">
        <v>1</v>
      </c>
      <c r="J35" s="58" t="str">
        <f>VLOOKUP(G35,' State_Mapping'!A:B,2,0)</f>
        <v>08-Rajasthan</v>
      </c>
      <c r="K35" s="58">
        <f t="shared" si="0"/>
        <v>0</v>
      </c>
      <c r="L35" s="58">
        <f t="shared" si="1"/>
        <v>0</v>
      </c>
      <c r="M35" s="58">
        <f t="shared" si="2"/>
        <v>20.809523810000002</v>
      </c>
      <c r="N35" s="58">
        <f t="shared" si="3"/>
        <v>437.00000001000001</v>
      </c>
      <c r="O35" s="66" t="b">
        <f t="shared" si="4"/>
        <v>1</v>
      </c>
      <c r="P35" s="40"/>
      <c r="Q35" s="40"/>
      <c r="R35" s="40"/>
      <c r="S35" s="40"/>
      <c r="T35" s="40"/>
      <c r="U35" s="40"/>
      <c r="V35" s="40"/>
      <c r="W35" s="58"/>
      <c r="X35" s="58"/>
      <c r="Y35" s="61">
        <v>1</v>
      </c>
    </row>
    <row r="36" spans="1:26" x14ac:dyDescent="0.3">
      <c r="A36" s="55" t="s">
        <v>141</v>
      </c>
      <c r="B36" s="61" t="s">
        <v>162</v>
      </c>
      <c r="C36" s="61" t="s">
        <v>187</v>
      </c>
      <c r="D36" s="61">
        <v>6111</v>
      </c>
      <c r="E36" s="61">
        <v>5</v>
      </c>
      <c r="F36" s="61">
        <v>-362.85714300000001</v>
      </c>
      <c r="G36" s="61" t="s">
        <v>103</v>
      </c>
      <c r="H36" s="61" t="s">
        <v>139</v>
      </c>
      <c r="I36" s="61">
        <v>-1</v>
      </c>
      <c r="J36" s="58" t="str">
        <f>VLOOKUP(G36,' State_Mapping'!A:B,2,0)</f>
        <v>33-Tamil Nadu</v>
      </c>
      <c r="K36" s="58">
        <f t="shared" ref="K36:K38" si="5">IF(J36=$X$22,F36*E36%/2,0)</f>
        <v>0</v>
      </c>
      <c r="L36" s="58">
        <f t="shared" ref="L36:L38" si="6">IF(J36=$X$22,F36*E36%/2,0)</f>
        <v>0</v>
      </c>
      <c r="M36" s="58">
        <f t="shared" ref="M36:M38" si="7">IF(J36=$X$22,0,F36*E36%)</f>
        <v>-18.142857150000001</v>
      </c>
      <c r="N36" s="58">
        <f t="shared" ref="N36:N38" si="8">K36+L36+M36+F36</f>
        <v>-381.00000015000001</v>
      </c>
      <c r="O36" s="66" t="b">
        <f t="shared" si="4"/>
        <v>1</v>
      </c>
      <c r="P36" s="40"/>
      <c r="Q36" s="40"/>
      <c r="R36" s="40"/>
      <c r="S36" s="40"/>
      <c r="T36" s="40"/>
      <c r="U36" s="40"/>
      <c r="V36" s="40"/>
      <c r="W36" s="58"/>
      <c r="X36" s="58"/>
      <c r="Y36" s="58"/>
      <c r="Z36" s="61">
        <f>-I36</f>
        <v>1</v>
      </c>
    </row>
    <row r="37" spans="1:26" x14ac:dyDescent="0.3">
      <c r="A37" s="55" t="s">
        <v>141</v>
      </c>
      <c r="B37" s="61" t="s">
        <v>161</v>
      </c>
      <c r="C37" s="61" t="s">
        <v>177</v>
      </c>
      <c r="D37" s="61">
        <v>6111</v>
      </c>
      <c r="E37" s="61">
        <v>5</v>
      </c>
      <c r="F37" s="61">
        <v>-303.80952400000001</v>
      </c>
      <c r="G37" s="61" t="s">
        <v>103</v>
      </c>
      <c r="H37" s="61" t="s">
        <v>139</v>
      </c>
      <c r="I37" s="61">
        <v>-1</v>
      </c>
      <c r="J37" s="58" t="str">
        <f>VLOOKUP(G37,' State_Mapping'!A:B,2,0)</f>
        <v>33-Tamil Nadu</v>
      </c>
      <c r="K37" s="58">
        <f t="shared" si="5"/>
        <v>0</v>
      </c>
      <c r="L37" s="58">
        <f t="shared" si="6"/>
        <v>0</v>
      </c>
      <c r="M37" s="58">
        <f t="shared" si="7"/>
        <v>-15.190476200000001</v>
      </c>
      <c r="N37" s="58">
        <f t="shared" si="8"/>
        <v>-319.00000019999999</v>
      </c>
      <c r="O37" s="66" t="b">
        <f t="shared" si="4"/>
        <v>1</v>
      </c>
      <c r="P37" s="40"/>
      <c r="Q37" s="40"/>
      <c r="R37" s="40"/>
      <c r="S37" s="40"/>
      <c r="T37" s="40"/>
      <c r="U37" s="40"/>
      <c r="V37" s="40"/>
      <c r="W37" s="58"/>
      <c r="X37" s="58"/>
      <c r="Y37" s="58"/>
      <c r="Z37" s="61">
        <f t="shared" ref="Z37:Z38" si="9">-I37</f>
        <v>1</v>
      </c>
    </row>
    <row r="38" spans="1:26" x14ac:dyDescent="0.3">
      <c r="A38" s="55" t="s">
        <v>141</v>
      </c>
      <c r="B38" s="61" t="s">
        <v>165</v>
      </c>
      <c r="C38" s="61" t="s">
        <v>179</v>
      </c>
      <c r="D38" s="61">
        <v>6111</v>
      </c>
      <c r="E38" s="61">
        <v>5</v>
      </c>
      <c r="F38" s="61">
        <v>-352.38095199999998</v>
      </c>
      <c r="G38" s="61" t="s">
        <v>108</v>
      </c>
      <c r="H38" s="61" t="s">
        <v>139</v>
      </c>
      <c r="I38" s="61">
        <v>-1</v>
      </c>
      <c r="J38" s="58" t="str">
        <f>VLOOKUP(G38,' State_Mapping'!A:B,2,0)</f>
        <v>32-Kerala</v>
      </c>
      <c r="K38" s="58">
        <f t="shared" si="5"/>
        <v>0</v>
      </c>
      <c r="L38" s="58">
        <f t="shared" si="6"/>
        <v>0</v>
      </c>
      <c r="M38" s="58">
        <f t="shared" si="7"/>
        <v>-17.619047599999998</v>
      </c>
      <c r="N38" s="58">
        <f t="shared" si="8"/>
        <v>-369.99999959999997</v>
      </c>
      <c r="O38" s="66" t="b">
        <f t="shared" si="4"/>
        <v>1</v>
      </c>
      <c r="P38" s="40"/>
      <c r="Q38" s="40"/>
      <c r="R38" s="40"/>
      <c r="S38" s="40"/>
      <c r="T38" s="40"/>
      <c r="U38" s="40"/>
      <c r="V38" s="40"/>
      <c r="W38" s="58"/>
      <c r="X38" s="58"/>
      <c r="Y38" s="58"/>
      <c r="Z38" s="61">
        <f t="shared" si="9"/>
        <v>1</v>
      </c>
    </row>
    <row r="39" spans="1:26" x14ac:dyDescent="0.3">
      <c r="A39" s="55"/>
      <c r="J39" s="58"/>
      <c r="K39" s="58"/>
      <c r="L39" s="58"/>
      <c r="M39" s="58"/>
      <c r="N39" s="58"/>
      <c r="O39" s="66"/>
      <c r="P39" s="40"/>
      <c r="Q39" s="40"/>
      <c r="R39" s="40"/>
      <c r="S39" s="40"/>
      <c r="T39" s="40"/>
      <c r="U39" s="40"/>
      <c r="V39" s="40"/>
    </row>
  </sheetData>
  <autoFilter ref="A2:Y39" xr:uid="{00000000-0009-0000-0000-000002000000}"/>
  <phoneticPr fontId="4" type="noConversion"/>
  <pageMargins left="0.7" right="0.7" top="0.75" bottom="0.75" header="0.3" footer="0.3"/>
  <pageSetup paperSize="9" scale="39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04DC-B799-47F4-94E1-A0A87A9E2D5B}">
  <dimension ref="A1:B46"/>
  <sheetViews>
    <sheetView workbookViewId="0">
      <selection sqref="A1:B46"/>
    </sheetView>
  </sheetViews>
  <sheetFormatPr defaultRowHeight="14.4" x14ac:dyDescent="0.3"/>
  <cols>
    <col min="1" max="1" width="50.109375" bestFit="1" customWidth="1"/>
    <col min="2" max="2" width="36.88671875" bestFit="1" customWidth="1"/>
  </cols>
  <sheetData>
    <row r="1" spans="1:2" x14ac:dyDescent="0.3">
      <c r="A1" s="1" t="s">
        <v>41</v>
      </c>
      <c r="B1" s="1" t="s">
        <v>42</v>
      </c>
    </row>
    <row r="2" spans="1:2" x14ac:dyDescent="0.3">
      <c r="A2" s="1" t="s">
        <v>38</v>
      </c>
      <c r="B2" s="1" t="s">
        <v>43</v>
      </c>
    </row>
    <row r="3" spans="1:2" x14ac:dyDescent="0.3">
      <c r="A3" s="1" t="s">
        <v>39</v>
      </c>
      <c r="B3" s="1" t="s">
        <v>44</v>
      </c>
    </row>
    <row r="4" spans="1:2" x14ac:dyDescent="0.3">
      <c r="A4" s="1" t="s">
        <v>45</v>
      </c>
      <c r="B4" s="1" t="s">
        <v>46</v>
      </c>
    </row>
    <row r="5" spans="1:2" x14ac:dyDescent="0.3">
      <c r="A5" s="1" t="s">
        <v>37</v>
      </c>
      <c r="B5" s="1" t="s">
        <v>47</v>
      </c>
    </row>
    <row r="6" spans="1:2" x14ac:dyDescent="0.3">
      <c r="A6" s="1" t="s">
        <v>33</v>
      </c>
      <c r="B6" s="1" t="s">
        <v>48</v>
      </c>
    </row>
    <row r="7" spans="1:2" x14ac:dyDescent="0.3">
      <c r="A7" s="1" t="s">
        <v>27</v>
      </c>
      <c r="B7" s="1" t="s">
        <v>49</v>
      </c>
    </row>
    <row r="8" spans="1:2" x14ac:dyDescent="0.3">
      <c r="A8" s="1" t="s">
        <v>28</v>
      </c>
      <c r="B8" s="1" t="s">
        <v>50</v>
      </c>
    </row>
    <row r="9" spans="1:2" x14ac:dyDescent="0.3">
      <c r="A9" s="1" t="s">
        <v>19</v>
      </c>
      <c r="B9" s="1" t="s">
        <v>51</v>
      </c>
    </row>
    <row r="10" spans="1:2" x14ac:dyDescent="0.3">
      <c r="A10" s="1" t="s">
        <v>16</v>
      </c>
      <c r="B10" s="1" t="s">
        <v>52</v>
      </c>
    </row>
    <row r="11" spans="1:2" x14ac:dyDescent="0.3">
      <c r="A11" s="1" t="s">
        <v>53</v>
      </c>
      <c r="B11" s="1" t="s">
        <v>54</v>
      </c>
    </row>
    <row r="12" spans="1:2" x14ac:dyDescent="0.3">
      <c r="A12" s="1" t="s">
        <v>24</v>
      </c>
      <c r="B12" s="1" t="s">
        <v>55</v>
      </c>
    </row>
    <row r="13" spans="1:2" x14ac:dyDescent="0.3">
      <c r="A13" s="1" t="s">
        <v>56</v>
      </c>
      <c r="B13" s="1" t="s">
        <v>57</v>
      </c>
    </row>
    <row r="14" spans="1:2" x14ac:dyDescent="0.3">
      <c r="A14" s="1" t="s">
        <v>58</v>
      </c>
      <c r="B14" s="1" t="s">
        <v>59</v>
      </c>
    </row>
    <row r="15" spans="1:2" x14ac:dyDescent="0.3">
      <c r="A15" s="1" t="s">
        <v>60</v>
      </c>
      <c r="B15" s="1" t="s">
        <v>61</v>
      </c>
    </row>
    <row r="16" spans="1:2" x14ac:dyDescent="0.3">
      <c r="A16" s="1" t="s">
        <v>32</v>
      </c>
      <c r="B16" s="1" t="s">
        <v>62</v>
      </c>
    </row>
    <row r="17" spans="1:2" x14ac:dyDescent="0.3">
      <c r="A17" t="s">
        <v>99</v>
      </c>
      <c r="B17" s="1" t="s">
        <v>63</v>
      </c>
    </row>
    <row r="18" spans="1:2" x14ac:dyDescent="0.3">
      <c r="A18" s="1" t="s">
        <v>22</v>
      </c>
      <c r="B18" s="1" t="s">
        <v>64</v>
      </c>
    </row>
    <row r="19" spans="1:2" x14ac:dyDescent="0.3">
      <c r="A19" s="1" t="s">
        <v>15</v>
      </c>
      <c r="B19" s="1" t="s">
        <v>23</v>
      </c>
    </row>
    <row r="20" spans="1:2" x14ac:dyDescent="0.3">
      <c r="A20" s="1" t="s">
        <v>34</v>
      </c>
      <c r="B20" s="1" t="s">
        <v>65</v>
      </c>
    </row>
    <row r="21" spans="1:2" x14ac:dyDescent="0.3">
      <c r="A21" s="1" t="s">
        <v>21</v>
      </c>
      <c r="B21" s="1" t="s">
        <v>66</v>
      </c>
    </row>
    <row r="22" spans="1:2" x14ac:dyDescent="0.3">
      <c r="A22" s="1" t="s">
        <v>26</v>
      </c>
      <c r="B22" s="1" t="s">
        <v>67</v>
      </c>
    </row>
    <row r="23" spans="1:2" x14ac:dyDescent="0.3">
      <c r="A23" s="1" t="s">
        <v>30</v>
      </c>
      <c r="B23" s="1" t="s">
        <v>68</v>
      </c>
    </row>
    <row r="24" spans="1:2" x14ac:dyDescent="0.3">
      <c r="A24" s="1" t="s">
        <v>35</v>
      </c>
      <c r="B24" s="1" t="s">
        <v>69</v>
      </c>
    </row>
    <row r="25" spans="1:2" x14ac:dyDescent="0.3">
      <c r="A25" s="1" t="s">
        <v>70</v>
      </c>
      <c r="B25" s="1" t="s">
        <v>71</v>
      </c>
    </row>
    <row r="26" spans="1:2" x14ac:dyDescent="0.3">
      <c r="A26" s="1" t="s">
        <v>72</v>
      </c>
      <c r="B26" s="1" t="s">
        <v>73</v>
      </c>
    </row>
    <row r="27" spans="1:2" x14ac:dyDescent="0.3">
      <c r="A27" s="1" t="s">
        <v>31</v>
      </c>
      <c r="B27" s="1" t="s">
        <v>74</v>
      </c>
    </row>
    <row r="28" spans="1:2" x14ac:dyDescent="0.3">
      <c r="A28" s="1" t="s">
        <v>20</v>
      </c>
      <c r="B28" s="1" t="s">
        <v>75</v>
      </c>
    </row>
    <row r="29" spans="1:2" x14ac:dyDescent="0.3">
      <c r="A29" s="1" t="s">
        <v>36</v>
      </c>
      <c r="B29" s="1" t="s">
        <v>76</v>
      </c>
    </row>
    <row r="30" spans="1:2" x14ac:dyDescent="0.3">
      <c r="A30" t="s">
        <v>101</v>
      </c>
      <c r="B30" s="1" t="s">
        <v>77</v>
      </c>
    </row>
    <row r="31" spans="1:2" x14ac:dyDescent="0.3">
      <c r="A31" s="1" t="s">
        <v>17</v>
      </c>
      <c r="B31" s="1" t="s">
        <v>78</v>
      </c>
    </row>
    <row r="32" spans="1:2" x14ac:dyDescent="0.3">
      <c r="A32" s="1" t="s">
        <v>18</v>
      </c>
      <c r="B32" s="1" t="s">
        <v>79</v>
      </c>
    </row>
    <row r="33" spans="1:2" x14ac:dyDescent="0.3">
      <c r="A33" s="1" t="s">
        <v>80</v>
      </c>
      <c r="B33" s="1" t="s">
        <v>81</v>
      </c>
    </row>
    <row r="34" spans="1:2" x14ac:dyDescent="0.3">
      <c r="A34" t="s">
        <v>100</v>
      </c>
      <c r="B34" s="1" t="s">
        <v>82</v>
      </c>
    </row>
    <row r="35" spans="1:2" x14ac:dyDescent="0.3">
      <c r="A35" s="1" t="s">
        <v>29</v>
      </c>
      <c r="B35" s="1" t="s">
        <v>83</v>
      </c>
    </row>
    <row r="36" spans="1:2" x14ac:dyDescent="0.3">
      <c r="A36" s="1" t="s">
        <v>25</v>
      </c>
      <c r="B36" s="1" t="s">
        <v>84</v>
      </c>
    </row>
    <row r="37" spans="1:2" x14ac:dyDescent="0.3">
      <c r="A37" s="1" t="s">
        <v>85</v>
      </c>
      <c r="B37" s="1" t="s">
        <v>86</v>
      </c>
    </row>
    <row r="38" spans="1:2" x14ac:dyDescent="0.3">
      <c r="A38" s="1" t="s">
        <v>87</v>
      </c>
      <c r="B38" s="1" t="s">
        <v>88</v>
      </c>
    </row>
    <row r="39" spans="1:2" x14ac:dyDescent="0.3">
      <c r="A39" s="1" t="s">
        <v>89</v>
      </c>
      <c r="B39" s="1" t="s">
        <v>42</v>
      </c>
    </row>
    <row r="40" spans="1:2" x14ac:dyDescent="0.3">
      <c r="A40" s="1" t="s">
        <v>90</v>
      </c>
      <c r="B40" s="1" t="s">
        <v>81</v>
      </c>
    </row>
    <row r="41" spans="1:2" x14ac:dyDescent="0.3">
      <c r="A41" s="1" t="s">
        <v>91</v>
      </c>
      <c r="B41" s="1" t="s">
        <v>73</v>
      </c>
    </row>
    <row r="42" spans="1:2" x14ac:dyDescent="0.3">
      <c r="A42" t="s">
        <v>112</v>
      </c>
      <c r="B42" s="1" t="s">
        <v>63</v>
      </c>
    </row>
    <row r="43" spans="1:2" x14ac:dyDescent="0.3">
      <c r="A43" t="s">
        <v>118</v>
      </c>
      <c r="B43" s="1" t="s">
        <v>82</v>
      </c>
    </row>
    <row r="44" spans="1:2" x14ac:dyDescent="0.3">
      <c r="A44" s="2" t="s">
        <v>126</v>
      </c>
      <c r="B44" s="1" t="s">
        <v>82</v>
      </c>
    </row>
    <row r="45" spans="1:2" x14ac:dyDescent="0.3">
      <c r="A45" s="7" t="s">
        <v>132</v>
      </c>
      <c r="B45" s="1" t="s">
        <v>73</v>
      </c>
    </row>
    <row r="46" spans="1:2" x14ac:dyDescent="0.3">
      <c r="A46" s="7" t="s">
        <v>136</v>
      </c>
      <c r="B46" s="1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topLeftCell="A13" workbookViewId="0">
      <selection activeCell="F2" sqref="F2:F14"/>
    </sheetView>
  </sheetViews>
  <sheetFormatPr defaultRowHeight="14.4" x14ac:dyDescent="0.3"/>
  <sheetData>
    <row r="1" spans="1:7" x14ac:dyDescent="0.3">
      <c r="A1" t="s">
        <v>112</v>
      </c>
    </row>
    <row r="2" spans="1:7" x14ac:dyDescent="0.3">
      <c r="A2" t="s">
        <v>118</v>
      </c>
      <c r="E2" s="5" t="s">
        <v>14</v>
      </c>
      <c r="F2">
        <v>1</v>
      </c>
      <c r="G2">
        <v>6</v>
      </c>
    </row>
    <row r="3" spans="1:7" ht="57.6" x14ac:dyDescent="0.3">
      <c r="A3" s="2" t="s">
        <v>126</v>
      </c>
      <c r="E3" s="5" t="s">
        <v>40</v>
      </c>
      <c r="F3">
        <v>2</v>
      </c>
      <c r="G3">
        <v>6</v>
      </c>
    </row>
    <row r="4" spans="1:7" x14ac:dyDescent="0.3">
      <c r="E4" s="5" t="s">
        <v>92</v>
      </c>
      <c r="F4">
        <v>3</v>
      </c>
      <c r="G4">
        <v>6</v>
      </c>
    </row>
    <row r="5" spans="1:7" x14ac:dyDescent="0.3">
      <c r="E5" s="5" t="s">
        <v>93</v>
      </c>
      <c r="F5">
        <v>4</v>
      </c>
      <c r="G5">
        <v>9</v>
      </c>
    </row>
    <row r="6" spans="1:7" x14ac:dyDescent="0.3">
      <c r="E6" t="s">
        <v>94</v>
      </c>
      <c r="F6">
        <v>6</v>
      </c>
      <c r="G6">
        <v>9</v>
      </c>
    </row>
    <row r="7" spans="1:7" x14ac:dyDescent="0.3">
      <c r="E7" t="s">
        <v>95</v>
      </c>
      <c r="F7">
        <v>7</v>
      </c>
      <c r="G7">
        <v>12</v>
      </c>
    </row>
    <row r="8" spans="1:7" x14ac:dyDescent="0.3">
      <c r="E8" t="s">
        <v>120</v>
      </c>
      <c r="F8">
        <v>8</v>
      </c>
      <c r="G8">
        <v>12</v>
      </c>
    </row>
    <row r="9" spans="1:7" x14ac:dyDescent="0.3">
      <c r="E9" t="s">
        <v>121</v>
      </c>
      <c r="F9">
        <v>9</v>
      </c>
      <c r="G9">
        <v>12</v>
      </c>
    </row>
    <row r="10" spans="1:7" x14ac:dyDescent="0.3">
      <c r="E10" t="s">
        <v>96</v>
      </c>
      <c r="F10">
        <v>10</v>
      </c>
      <c r="G10">
        <v>3</v>
      </c>
    </row>
    <row r="11" spans="1:7" x14ac:dyDescent="0.3">
      <c r="E11" t="s">
        <v>122</v>
      </c>
      <c r="F11">
        <v>11</v>
      </c>
      <c r="G11">
        <v>3</v>
      </c>
    </row>
    <row r="12" spans="1:7" x14ac:dyDescent="0.3">
      <c r="E12" t="s">
        <v>123</v>
      </c>
      <c r="F12">
        <v>12</v>
      </c>
      <c r="G12">
        <v>3</v>
      </c>
    </row>
    <row r="13" spans="1:7" x14ac:dyDescent="0.3">
      <c r="E13" t="s">
        <v>125</v>
      </c>
      <c r="F13">
        <v>5</v>
      </c>
      <c r="G13">
        <v>9</v>
      </c>
    </row>
    <row r="14" spans="1:7" x14ac:dyDescent="0.3">
      <c r="E14" t="s">
        <v>124</v>
      </c>
      <c r="F14">
        <v>13</v>
      </c>
      <c r="G14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27"/>
  <sheetViews>
    <sheetView workbookViewId="0"/>
  </sheetViews>
  <sheetFormatPr defaultRowHeight="14.4" x14ac:dyDescent="0.3"/>
  <sheetData>
    <row r="1" spans="1:9" x14ac:dyDescent="0.3">
      <c r="A1">
        <v>1</v>
      </c>
      <c r="B1">
        <f>-A1</f>
        <v>-1</v>
      </c>
      <c r="D1">
        <v>1</v>
      </c>
      <c r="E1">
        <f>-D1</f>
        <v>-1</v>
      </c>
      <c r="F1">
        <v>341.90476190476102</v>
      </c>
      <c r="G1">
        <f>-F1</f>
        <v>-341.90476190476102</v>
      </c>
    </row>
    <row r="2" spans="1:9" x14ac:dyDescent="0.3">
      <c r="A2">
        <v>1</v>
      </c>
      <c r="B2">
        <f t="shared" ref="B2:B65" si="0">-A2</f>
        <v>-1</v>
      </c>
      <c r="D2">
        <v>1</v>
      </c>
      <c r="E2">
        <f t="shared" ref="E2:E65" si="1">-D2</f>
        <v>-1</v>
      </c>
      <c r="F2">
        <v>177.142857142857</v>
      </c>
      <c r="G2">
        <f t="shared" ref="G2:G65" si="2">-F2</f>
        <v>-177.142857142857</v>
      </c>
    </row>
    <row r="3" spans="1:9" x14ac:dyDescent="0.3">
      <c r="A3">
        <v>1</v>
      </c>
      <c r="B3">
        <f t="shared" si="0"/>
        <v>-1</v>
      </c>
      <c r="D3">
        <v>1</v>
      </c>
      <c r="E3">
        <f t="shared" si="1"/>
        <v>-1</v>
      </c>
      <c r="F3">
        <v>379.04761904761898</v>
      </c>
      <c r="G3">
        <f t="shared" si="2"/>
        <v>-379.04761904761898</v>
      </c>
    </row>
    <row r="4" spans="1:9" x14ac:dyDescent="0.3">
      <c r="A4">
        <v>1</v>
      </c>
      <c r="B4">
        <f t="shared" si="0"/>
        <v>-1</v>
      </c>
      <c r="D4">
        <v>1</v>
      </c>
      <c r="E4">
        <f t="shared" si="1"/>
        <v>-1</v>
      </c>
      <c r="F4">
        <v>360.95238095238102</v>
      </c>
      <c r="G4">
        <f t="shared" si="2"/>
        <v>-360.95238095238102</v>
      </c>
    </row>
    <row r="5" spans="1:9" x14ac:dyDescent="0.3">
      <c r="A5">
        <v>1</v>
      </c>
      <c r="B5">
        <f t="shared" si="0"/>
        <v>-1</v>
      </c>
      <c r="D5">
        <v>1</v>
      </c>
      <c r="E5">
        <f t="shared" si="1"/>
        <v>-1</v>
      </c>
      <c r="F5">
        <v>169.52380952380901</v>
      </c>
      <c r="G5">
        <f t="shared" si="2"/>
        <v>-169.52380952380901</v>
      </c>
    </row>
    <row r="6" spans="1:9" x14ac:dyDescent="0.3">
      <c r="A6">
        <v>1</v>
      </c>
      <c r="B6">
        <f t="shared" si="0"/>
        <v>-1</v>
      </c>
      <c r="D6">
        <v>1</v>
      </c>
      <c r="E6">
        <f t="shared" si="1"/>
        <v>-1</v>
      </c>
      <c r="F6">
        <v>221.90476190476099</v>
      </c>
      <c r="G6">
        <f t="shared" si="2"/>
        <v>-221.90476190476099</v>
      </c>
      <c r="H6">
        <v>6828</v>
      </c>
    </row>
    <row r="7" spans="1:9" x14ac:dyDescent="0.3">
      <c r="A7">
        <v>1</v>
      </c>
      <c r="B7">
        <f t="shared" si="0"/>
        <v>-1</v>
      </c>
      <c r="D7">
        <v>1</v>
      </c>
      <c r="E7">
        <f t="shared" si="1"/>
        <v>-1</v>
      </c>
      <c r="F7">
        <v>172.38095238095201</v>
      </c>
      <c r="G7">
        <f t="shared" si="2"/>
        <v>-172.38095238095201</v>
      </c>
      <c r="H7">
        <v>6982</v>
      </c>
      <c r="I7">
        <f>H7-H6</f>
        <v>154</v>
      </c>
    </row>
    <row r="8" spans="1:9" x14ac:dyDescent="0.3">
      <c r="A8">
        <v>1</v>
      </c>
      <c r="B8">
        <f t="shared" si="0"/>
        <v>-1</v>
      </c>
      <c r="D8">
        <v>1</v>
      </c>
      <c r="E8">
        <f t="shared" si="1"/>
        <v>-1</v>
      </c>
      <c r="F8">
        <v>177.142857142857</v>
      </c>
      <c r="G8">
        <f t="shared" si="2"/>
        <v>-177.142857142857</v>
      </c>
    </row>
    <row r="9" spans="1:9" x14ac:dyDescent="0.3">
      <c r="A9">
        <v>1</v>
      </c>
      <c r="B9">
        <f t="shared" si="0"/>
        <v>-1</v>
      </c>
      <c r="D9">
        <v>1</v>
      </c>
      <c r="E9">
        <f t="shared" si="1"/>
        <v>-1</v>
      </c>
      <c r="F9">
        <v>212.38095238095201</v>
      </c>
      <c r="G9">
        <f t="shared" si="2"/>
        <v>-212.38095238095201</v>
      </c>
      <c r="H9">
        <v>6971</v>
      </c>
    </row>
    <row r="10" spans="1:9" x14ac:dyDescent="0.3">
      <c r="A10">
        <v>1</v>
      </c>
      <c r="B10">
        <f t="shared" si="0"/>
        <v>-1</v>
      </c>
      <c r="D10">
        <v>1</v>
      </c>
      <c r="E10">
        <f t="shared" si="1"/>
        <v>-1</v>
      </c>
      <c r="F10">
        <v>161.90476190476099</v>
      </c>
      <c r="G10">
        <f t="shared" si="2"/>
        <v>-161.90476190476099</v>
      </c>
      <c r="H10">
        <f>H9-H6</f>
        <v>143</v>
      </c>
    </row>
    <row r="11" spans="1:9" x14ac:dyDescent="0.3">
      <c r="A11">
        <v>1</v>
      </c>
      <c r="B11">
        <f t="shared" si="0"/>
        <v>-1</v>
      </c>
      <c r="D11">
        <v>1</v>
      </c>
      <c r="E11">
        <f t="shared" si="1"/>
        <v>-1</v>
      </c>
      <c r="F11">
        <v>312.38095238095201</v>
      </c>
      <c r="G11">
        <f t="shared" si="2"/>
        <v>-312.38095238095201</v>
      </c>
    </row>
    <row r="12" spans="1:9" x14ac:dyDescent="0.3">
      <c r="A12">
        <v>1</v>
      </c>
      <c r="B12">
        <f t="shared" si="0"/>
        <v>-1</v>
      </c>
      <c r="D12">
        <v>1</v>
      </c>
      <c r="E12">
        <f t="shared" si="1"/>
        <v>-1</v>
      </c>
      <c r="F12">
        <v>379.04761904761898</v>
      </c>
      <c r="G12">
        <f t="shared" si="2"/>
        <v>-379.04761904761898</v>
      </c>
    </row>
    <row r="13" spans="1:9" x14ac:dyDescent="0.3">
      <c r="A13">
        <v>1</v>
      </c>
      <c r="B13">
        <f t="shared" si="0"/>
        <v>-1</v>
      </c>
      <c r="D13">
        <v>1</v>
      </c>
      <c r="E13">
        <f t="shared" si="1"/>
        <v>-1</v>
      </c>
      <c r="F13">
        <v>342.85714285714198</v>
      </c>
      <c r="G13">
        <f t="shared" si="2"/>
        <v>-342.85714285714198</v>
      </c>
    </row>
    <row r="14" spans="1:9" x14ac:dyDescent="0.3">
      <c r="A14">
        <v>1</v>
      </c>
      <c r="B14">
        <f t="shared" si="0"/>
        <v>-1</v>
      </c>
      <c r="D14">
        <v>1</v>
      </c>
      <c r="E14">
        <f t="shared" si="1"/>
        <v>-1</v>
      </c>
      <c r="F14">
        <v>349.52380952380901</v>
      </c>
      <c r="G14">
        <f t="shared" si="2"/>
        <v>-349.52380952380901</v>
      </c>
    </row>
    <row r="15" spans="1:9" x14ac:dyDescent="0.3">
      <c r="A15">
        <v>1</v>
      </c>
      <c r="B15">
        <f t="shared" si="0"/>
        <v>-1</v>
      </c>
      <c r="D15">
        <v>1</v>
      </c>
      <c r="E15">
        <f t="shared" si="1"/>
        <v>-1</v>
      </c>
      <c r="F15">
        <v>343.809523809523</v>
      </c>
      <c r="G15">
        <f t="shared" si="2"/>
        <v>-343.809523809523</v>
      </c>
    </row>
    <row r="16" spans="1:9" x14ac:dyDescent="0.3">
      <c r="A16">
        <v>1</v>
      </c>
      <c r="B16">
        <f t="shared" si="0"/>
        <v>-1</v>
      </c>
      <c r="D16">
        <v>1</v>
      </c>
      <c r="E16">
        <f t="shared" si="1"/>
        <v>-1</v>
      </c>
      <c r="F16">
        <v>353.33333333333297</v>
      </c>
      <c r="G16">
        <f t="shared" si="2"/>
        <v>-353.33333333333297</v>
      </c>
    </row>
    <row r="17" spans="1:7" x14ac:dyDescent="0.3">
      <c r="A17">
        <v>1</v>
      </c>
      <c r="B17">
        <f t="shared" si="0"/>
        <v>-1</v>
      </c>
      <c r="D17">
        <v>1</v>
      </c>
      <c r="E17">
        <f t="shared" si="1"/>
        <v>-1</v>
      </c>
      <c r="F17">
        <v>194.28571428571399</v>
      </c>
      <c r="G17">
        <f t="shared" si="2"/>
        <v>-194.28571428571399</v>
      </c>
    </row>
    <row r="18" spans="1:7" x14ac:dyDescent="0.3">
      <c r="A18">
        <v>1</v>
      </c>
      <c r="B18">
        <f t="shared" si="0"/>
        <v>-1</v>
      </c>
      <c r="D18">
        <v>1</v>
      </c>
      <c r="E18">
        <f t="shared" si="1"/>
        <v>-1</v>
      </c>
      <c r="F18">
        <v>340</v>
      </c>
      <c r="G18">
        <f t="shared" si="2"/>
        <v>-340</v>
      </c>
    </row>
    <row r="19" spans="1:7" x14ac:dyDescent="0.3">
      <c r="A19">
        <v>1</v>
      </c>
      <c r="B19">
        <f t="shared" si="0"/>
        <v>-1</v>
      </c>
      <c r="D19">
        <v>1</v>
      </c>
      <c r="E19">
        <f t="shared" si="1"/>
        <v>-1</v>
      </c>
      <c r="F19">
        <v>376.19047619047598</v>
      </c>
      <c r="G19">
        <f t="shared" si="2"/>
        <v>-376.19047619047598</v>
      </c>
    </row>
    <row r="20" spans="1:7" x14ac:dyDescent="0.3">
      <c r="A20">
        <v>1</v>
      </c>
      <c r="B20">
        <f t="shared" si="0"/>
        <v>-1</v>
      </c>
      <c r="D20">
        <v>1</v>
      </c>
      <c r="E20">
        <f t="shared" si="1"/>
        <v>-1</v>
      </c>
      <c r="F20">
        <v>361.90476190476102</v>
      </c>
      <c r="G20">
        <f t="shared" si="2"/>
        <v>-361.90476190476102</v>
      </c>
    </row>
    <row r="21" spans="1:7" x14ac:dyDescent="0.3">
      <c r="A21">
        <v>1</v>
      </c>
      <c r="B21">
        <f t="shared" si="0"/>
        <v>-1</v>
      </c>
      <c r="D21">
        <v>1</v>
      </c>
      <c r="E21">
        <f t="shared" si="1"/>
        <v>-1</v>
      </c>
      <c r="F21">
        <v>375.23809523809501</v>
      </c>
      <c r="G21">
        <f t="shared" si="2"/>
        <v>-375.23809523809501</v>
      </c>
    </row>
    <row r="22" spans="1:7" x14ac:dyDescent="0.3">
      <c r="A22">
        <v>1</v>
      </c>
      <c r="B22">
        <f t="shared" si="0"/>
        <v>-1</v>
      </c>
      <c r="D22">
        <v>1</v>
      </c>
      <c r="E22">
        <f t="shared" si="1"/>
        <v>-1</v>
      </c>
      <c r="F22">
        <v>172.38095238095201</v>
      </c>
      <c r="G22">
        <f t="shared" si="2"/>
        <v>-172.38095238095201</v>
      </c>
    </row>
    <row r="23" spans="1:7" x14ac:dyDescent="0.3">
      <c r="A23">
        <v>1</v>
      </c>
      <c r="B23">
        <f t="shared" si="0"/>
        <v>-1</v>
      </c>
      <c r="D23">
        <v>1</v>
      </c>
      <c r="E23">
        <f t="shared" si="1"/>
        <v>-1</v>
      </c>
      <c r="F23">
        <v>172.38095238095201</v>
      </c>
      <c r="G23">
        <f t="shared" si="2"/>
        <v>-172.38095238095201</v>
      </c>
    </row>
    <row r="24" spans="1:7" x14ac:dyDescent="0.3">
      <c r="A24">
        <v>1</v>
      </c>
      <c r="B24">
        <f t="shared" si="0"/>
        <v>-1</v>
      </c>
      <c r="D24">
        <v>1</v>
      </c>
      <c r="E24">
        <f t="shared" si="1"/>
        <v>-1</v>
      </c>
      <c r="F24">
        <v>371.42857142857099</v>
      </c>
      <c r="G24">
        <f t="shared" si="2"/>
        <v>-371.42857142857099</v>
      </c>
    </row>
    <row r="25" spans="1:7" x14ac:dyDescent="0.3">
      <c r="A25">
        <v>1</v>
      </c>
      <c r="B25">
        <f t="shared" si="0"/>
        <v>-1</v>
      </c>
      <c r="D25">
        <v>1</v>
      </c>
      <c r="E25">
        <f t="shared" si="1"/>
        <v>-1</v>
      </c>
      <c r="F25">
        <v>175.23809523809501</v>
      </c>
      <c r="G25">
        <f t="shared" si="2"/>
        <v>-175.23809523809501</v>
      </c>
    </row>
    <row r="26" spans="1:7" x14ac:dyDescent="0.3">
      <c r="A26">
        <v>1</v>
      </c>
      <c r="B26">
        <f t="shared" si="0"/>
        <v>-1</v>
      </c>
      <c r="D26">
        <v>1</v>
      </c>
      <c r="E26">
        <f t="shared" si="1"/>
        <v>-1</v>
      </c>
      <c r="F26">
        <v>182.85714285714201</v>
      </c>
      <c r="G26">
        <f t="shared" si="2"/>
        <v>-182.85714285714201</v>
      </c>
    </row>
    <row r="27" spans="1:7" x14ac:dyDescent="0.3">
      <c r="A27">
        <v>1</v>
      </c>
      <c r="B27">
        <f t="shared" si="0"/>
        <v>-1</v>
      </c>
      <c r="D27">
        <v>1</v>
      </c>
      <c r="E27">
        <f t="shared" si="1"/>
        <v>-1</v>
      </c>
      <c r="F27">
        <v>238.09523809523799</v>
      </c>
      <c r="G27">
        <f t="shared" si="2"/>
        <v>-238.09523809523799</v>
      </c>
    </row>
    <row r="28" spans="1:7" x14ac:dyDescent="0.3">
      <c r="A28">
        <v>1</v>
      </c>
      <c r="B28">
        <f t="shared" si="0"/>
        <v>-1</v>
      </c>
      <c r="D28">
        <v>1</v>
      </c>
      <c r="E28">
        <f t="shared" si="1"/>
        <v>-1</v>
      </c>
      <c r="F28">
        <v>340</v>
      </c>
      <c r="G28">
        <f t="shared" si="2"/>
        <v>-340</v>
      </c>
    </row>
    <row r="29" spans="1:7" x14ac:dyDescent="0.3">
      <c r="A29">
        <v>1</v>
      </c>
      <c r="B29">
        <f t="shared" si="0"/>
        <v>-1</v>
      </c>
      <c r="D29">
        <v>1</v>
      </c>
      <c r="E29">
        <f t="shared" si="1"/>
        <v>-1</v>
      </c>
      <c r="F29">
        <v>172.38095238095201</v>
      </c>
      <c r="G29">
        <f t="shared" si="2"/>
        <v>-172.38095238095201</v>
      </c>
    </row>
    <row r="30" spans="1:7" x14ac:dyDescent="0.3">
      <c r="A30">
        <v>1</v>
      </c>
      <c r="B30">
        <f t="shared" si="0"/>
        <v>-1</v>
      </c>
      <c r="D30">
        <v>1</v>
      </c>
      <c r="E30">
        <f t="shared" si="1"/>
        <v>-1</v>
      </c>
      <c r="F30">
        <v>172.38095238095201</v>
      </c>
      <c r="G30">
        <f t="shared" si="2"/>
        <v>-172.38095238095201</v>
      </c>
    </row>
    <row r="31" spans="1:7" x14ac:dyDescent="0.3">
      <c r="A31">
        <v>1</v>
      </c>
      <c r="B31">
        <f t="shared" si="0"/>
        <v>-1</v>
      </c>
      <c r="D31">
        <v>1</v>
      </c>
      <c r="E31">
        <f t="shared" si="1"/>
        <v>-1</v>
      </c>
      <c r="F31">
        <v>311.42857142857099</v>
      </c>
      <c r="G31">
        <f t="shared" si="2"/>
        <v>-311.42857142857099</v>
      </c>
    </row>
    <row r="32" spans="1:7" x14ac:dyDescent="0.3">
      <c r="A32">
        <v>1</v>
      </c>
      <c r="B32">
        <f t="shared" si="0"/>
        <v>-1</v>
      </c>
      <c r="D32">
        <v>1</v>
      </c>
      <c r="E32">
        <f t="shared" si="1"/>
        <v>-1</v>
      </c>
      <c r="F32">
        <v>217.142857142857</v>
      </c>
      <c r="G32">
        <f t="shared" si="2"/>
        <v>-217.142857142857</v>
      </c>
    </row>
    <row r="33" spans="1:7" x14ac:dyDescent="0.3">
      <c r="A33">
        <v>1</v>
      </c>
      <c r="B33">
        <f t="shared" si="0"/>
        <v>-1</v>
      </c>
      <c r="D33">
        <v>1</v>
      </c>
      <c r="E33">
        <f t="shared" si="1"/>
        <v>-1</v>
      </c>
      <c r="F33">
        <v>358.09523809523802</v>
      </c>
      <c r="G33">
        <f t="shared" si="2"/>
        <v>-358.09523809523802</v>
      </c>
    </row>
    <row r="34" spans="1:7" x14ac:dyDescent="0.3">
      <c r="A34">
        <v>1</v>
      </c>
      <c r="B34">
        <f t="shared" si="0"/>
        <v>-1</v>
      </c>
      <c r="D34">
        <v>1</v>
      </c>
      <c r="E34">
        <f t="shared" si="1"/>
        <v>-1</v>
      </c>
      <c r="F34">
        <v>238.09523809523799</v>
      </c>
      <c r="G34">
        <f t="shared" si="2"/>
        <v>-238.09523809523799</v>
      </c>
    </row>
    <row r="35" spans="1:7" x14ac:dyDescent="0.3">
      <c r="A35">
        <v>1</v>
      </c>
      <c r="B35">
        <f t="shared" si="0"/>
        <v>-1</v>
      </c>
      <c r="D35">
        <v>1</v>
      </c>
      <c r="E35">
        <f t="shared" si="1"/>
        <v>-1</v>
      </c>
      <c r="F35">
        <v>172.38095238095201</v>
      </c>
      <c r="G35">
        <f t="shared" si="2"/>
        <v>-172.38095238095201</v>
      </c>
    </row>
    <row r="36" spans="1:7" x14ac:dyDescent="0.3">
      <c r="A36">
        <v>2</v>
      </c>
      <c r="B36">
        <f t="shared" si="0"/>
        <v>-2</v>
      </c>
      <c r="D36">
        <v>2</v>
      </c>
      <c r="E36">
        <f t="shared" si="1"/>
        <v>-2</v>
      </c>
      <c r="F36">
        <v>352.38095238095201</v>
      </c>
      <c r="G36">
        <f t="shared" si="2"/>
        <v>-352.38095238095201</v>
      </c>
    </row>
    <row r="37" spans="1:7" x14ac:dyDescent="0.3">
      <c r="A37">
        <v>1</v>
      </c>
      <c r="B37">
        <f t="shared" si="0"/>
        <v>-1</v>
      </c>
      <c r="D37">
        <v>1</v>
      </c>
      <c r="E37">
        <f t="shared" si="1"/>
        <v>-1</v>
      </c>
      <c r="F37">
        <v>376.19047619047598</v>
      </c>
      <c r="G37">
        <f t="shared" si="2"/>
        <v>-376.19047619047598</v>
      </c>
    </row>
    <row r="38" spans="1:7" x14ac:dyDescent="0.3">
      <c r="A38">
        <v>1</v>
      </c>
      <c r="B38">
        <f t="shared" si="0"/>
        <v>-1</v>
      </c>
      <c r="D38">
        <v>1</v>
      </c>
      <c r="E38">
        <f t="shared" si="1"/>
        <v>-1</v>
      </c>
      <c r="F38">
        <v>369.52380952380901</v>
      </c>
      <c r="G38">
        <f t="shared" si="2"/>
        <v>-369.52380952380901</v>
      </c>
    </row>
    <row r="39" spans="1:7" x14ac:dyDescent="0.3">
      <c r="A39">
        <v>1</v>
      </c>
      <c r="B39">
        <f t="shared" si="0"/>
        <v>-1</v>
      </c>
      <c r="D39">
        <v>1</v>
      </c>
      <c r="E39">
        <f t="shared" si="1"/>
        <v>-1</v>
      </c>
      <c r="F39">
        <v>224.76190476190399</v>
      </c>
      <c r="G39">
        <f t="shared" si="2"/>
        <v>-224.76190476190399</v>
      </c>
    </row>
    <row r="40" spans="1:7" x14ac:dyDescent="0.3">
      <c r="A40">
        <v>1</v>
      </c>
      <c r="B40">
        <f t="shared" si="0"/>
        <v>-1</v>
      </c>
      <c r="D40">
        <v>1</v>
      </c>
      <c r="E40">
        <f t="shared" si="1"/>
        <v>-1</v>
      </c>
      <c r="F40">
        <v>206.666666666666</v>
      </c>
      <c r="G40">
        <f t="shared" si="2"/>
        <v>-206.666666666666</v>
      </c>
    </row>
    <row r="41" spans="1:7" x14ac:dyDescent="0.3">
      <c r="A41">
        <v>1</v>
      </c>
      <c r="B41">
        <f t="shared" si="0"/>
        <v>-1</v>
      </c>
      <c r="D41">
        <v>1</v>
      </c>
      <c r="E41">
        <f t="shared" si="1"/>
        <v>-1</v>
      </c>
      <c r="F41">
        <v>370.47619047619003</v>
      </c>
      <c r="G41">
        <f t="shared" si="2"/>
        <v>-370.47619047619003</v>
      </c>
    </row>
    <row r="42" spans="1:7" x14ac:dyDescent="0.3">
      <c r="A42">
        <v>1</v>
      </c>
      <c r="B42">
        <f t="shared" si="0"/>
        <v>-1</v>
      </c>
      <c r="D42">
        <v>1</v>
      </c>
      <c r="E42">
        <f t="shared" si="1"/>
        <v>-1</v>
      </c>
      <c r="F42">
        <v>340</v>
      </c>
      <c r="G42">
        <f t="shared" si="2"/>
        <v>-340</v>
      </c>
    </row>
    <row r="43" spans="1:7" x14ac:dyDescent="0.3">
      <c r="A43">
        <v>1</v>
      </c>
      <c r="B43">
        <f t="shared" si="0"/>
        <v>-1</v>
      </c>
      <c r="D43">
        <v>1</v>
      </c>
      <c r="E43">
        <f t="shared" si="1"/>
        <v>-1</v>
      </c>
      <c r="F43">
        <v>230.47619047619</v>
      </c>
      <c r="G43">
        <f t="shared" si="2"/>
        <v>-230.47619047619</v>
      </c>
    </row>
    <row r="44" spans="1:7" x14ac:dyDescent="0.3">
      <c r="A44">
        <v>1</v>
      </c>
      <c r="B44">
        <f t="shared" si="0"/>
        <v>-1</v>
      </c>
      <c r="D44">
        <v>1</v>
      </c>
      <c r="E44">
        <f t="shared" si="1"/>
        <v>-1</v>
      </c>
      <c r="F44">
        <v>339.04761904761898</v>
      </c>
      <c r="G44">
        <f t="shared" si="2"/>
        <v>-339.04761904761898</v>
      </c>
    </row>
    <row r="45" spans="1:7" x14ac:dyDescent="0.3">
      <c r="A45">
        <v>1</v>
      </c>
      <c r="B45">
        <f t="shared" si="0"/>
        <v>-1</v>
      </c>
      <c r="D45">
        <v>1</v>
      </c>
      <c r="E45">
        <f t="shared" si="1"/>
        <v>-1</v>
      </c>
      <c r="F45">
        <v>172.38095238095201</v>
      </c>
      <c r="G45">
        <f t="shared" si="2"/>
        <v>-172.38095238095201</v>
      </c>
    </row>
    <row r="46" spans="1:7" x14ac:dyDescent="0.3">
      <c r="A46">
        <v>1</v>
      </c>
      <c r="B46">
        <f t="shared" si="0"/>
        <v>-1</v>
      </c>
      <c r="D46">
        <v>1</v>
      </c>
      <c r="E46">
        <f t="shared" si="1"/>
        <v>-1</v>
      </c>
      <c r="F46">
        <v>177.142857142857</v>
      </c>
      <c r="G46">
        <f t="shared" si="2"/>
        <v>-177.142857142857</v>
      </c>
    </row>
    <row r="47" spans="1:7" x14ac:dyDescent="0.3">
      <c r="A47">
        <v>1</v>
      </c>
      <c r="B47">
        <f t="shared" si="0"/>
        <v>-1</v>
      </c>
      <c r="D47">
        <v>1</v>
      </c>
      <c r="E47">
        <f t="shared" si="1"/>
        <v>-1</v>
      </c>
      <c r="F47">
        <v>177.142857142857</v>
      </c>
      <c r="G47">
        <f t="shared" si="2"/>
        <v>-177.142857142857</v>
      </c>
    </row>
    <row r="48" spans="1:7" x14ac:dyDescent="0.3">
      <c r="A48">
        <v>1</v>
      </c>
      <c r="B48">
        <f t="shared" si="0"/>
        <v>-1</v>
      </c>
      <c r="D48">
        <v>1</v>
      </c>
      <c r="E48">
        <f t="shared" si="1"/>
        <v>-1</v>
      </c>
      <c r="F48">
        <v>215.23809523809501</v>
      </c>
      <c r="G48">
        <f t="shared" si="2"/>
        <v>-215.23809523809501</v>
      </c>
    </row>
    <row r="49" spans="1:7" x14ac:dyDescent="0.3">
      <c r="A49">
        <v>1</v>
      </c>
      <c r="B49">
        <f t="shared" si="0"/>
        <v>-1</v>
      </c>
      <c r="D49">
        <v>1</v>
      </c>
      <c r="E49">
        <f t="shared" si="1"/>
        <v>-1</v>
      </c>
      <c r="F49">
        <v>380</v>
      </c>
      <c r="G49">
        <f t="shared" si="2"/>
        <v>-380</v>
      </c>
    </row>
    <row r="50" spans="1:7" x14ac:dyDescent="0.3">
      <c r="A50">
        <v>1</v>
      </c>
      <c r="B50">
        <f t="shared" si="0"/>
        <v>-1</v>
      </c>
      <c r="D50">
        <v>1</v>
      </c>
      <c r="E50">
        <f t="shared" si="1"/>
        <v>-1</v>
      </c>
      <c r="F50">
        <v>177.142857142857</v>
      </c>
      <c r="G50">
        <f t="shared" si="2"/>
        <v>-177.142857142857</v>
      </c>
    </row>
    <row r="51" spans="1:7" x14ac:dyDescent="0.3">
      <c r="A51">
        <v>1</v>
      </c>
      <c r="B51">
        <f t="shared" si="0"/>
        <v>-1</v>
      </c>
      <c r="D51">
        <v>1</v>
      </c>
      <c r="E51">
        <f t="shared" si="1"/>
        <v>-1</v>
      </c>
      <c r="F51">
        <v>342.85714285714198</v>
      </c>
      <c r="G51">
        <f t="shared" si="2"/>
        <v>-342.85714285714198</v>
      </c>
    </row>
    <row r="52" spans="1:7" x14ac:dyDescent="0.3">
      <c r="A52">
        <v>1</v>
      </c>
      <c r="B52">
        <f t="shared" si="0"/>
        <v>-1</v>
      </c>
      <c r="D52">
        <v>1</v>
      </c>
      <c r="E52">
        <f t="shared" si="1"/>
        <v>-1</v>
      </c>
      <c r="F52">
        <v>178.09523809523799</v>
      </c>
      <c r="G52">
        <f t="shared" si="2"/>
        <v>-178.09523809523799</v>
      </c>
    </row>
    <row r="53" spans="1:7" x14ac:dyDescent="0.3">
      <c r="A53">
        <v>1</v>
      </c>
      <c r="B53">
        <f t="shared" si="0"/>
        <v>-1</v>
      </c>
      <c r="D53">
        <v>1</v>
      </c>
      <c r="E53">
        <f t="shared" si="1"/>
        <v>-1</v>
      </c>
      <c r="F53">
        <v>216.19047619047601</v>
      </c>
      <c r="G53">
        <f t="shared" si="2"/>
        <v>-216.19047619047601</v>
      </c>
    </row>
    <row r="54" spans="1:7" x14ac:dyDescent="0.3">
      <c r="A54">
        <v>1</v>
      </c>
      <c r="B54">
        <f t="shared" si="0"/>
        <v>-1</v>
      </c>
      <c r="D54">
        <v>1</v>
      </c>
      <c r="E54">
        <f t="shared" si="1"/>
        <v>-1</v>
      </c>
      <c r="F54">
        <v>177.142857142857</v>
      </c>
      <c r="G54">
        <f t="shared" si="2"/>
        <v>-177.142857142857</v>
      </c>
    </row>
    <row r="55" spans="1:7" x14ac:dyDescent="0.3">
      <c r="A55">
        <v>1</v>
      </c>
      <c r="B55">
        <f t="shared" si="0"/>
        <v>-1</v>
      </c>
      <c r="D55">
        <v>1</v>
      </c>
      <c r="E55">
        <f t="shared" si="1"/>
        <v>-1</v>
      </c>
      <c r="F55">
        <v>370.47619047619003</v>
      </c>
      <c r="G55">
        <f t="shared" si="2"/>
        <v>-370.47619047619003</v>
      </c>
    </row>
    <row r="56" spans="1:7" x14ac:dyDescent="0.3">
      <c r="A56">
        <v>1</v>
      </c>
      <c r="B56">
        <f t="shared" si="0"/>
        <v>-1</v>
      </c>
      <c r="D56">
        <v>1</v>
      </c>
      <c r="E56">
        <f t="shared" si="1"/>
        <v>-1</v>
      </c>
      <c r="F56">
        <v>380</v>
      </c>
      <c r="G56">
        <f t="shared" si="2"/>
        <v>-380</v>
      </c>
    </row>
    <row r="57" spans="1:7" x14ac:dyDescent="0.3">
      <c r="A57">
        <v>1</v>
      </c>
      <c r="B57">
        <f t="shared" si="0"/>
        <v>-1</v>
      </c>
      <c r="D57">
        <v>1</v>
      </c>
      <c r="E57">
        <f t="shared" si="1"/>
        <v>-1</v>
      </c>
      <c r="F57">
        <v>340</v>
      </c>
      <c r="G57">
        <f t="shared" si="2"/>
        <v>-340</v>
      </c>
    </row>
    <row r="58" spans="1:7" x14ac:dyDescent="0.3">
      <c r="A58">
        <v>1</v>
      </c>
      <c r="B58">
        <f t="shared" si="0"/>
        <v>-1</v>
      </c>
      <c r="D58">
        <v>1</v>
      </c>
      <c r="E58">
        <f t="shared" si="1"/>
        <v>-1</v>
      </c>
      <c r="F58">
        <v>177.142857142857</v>
      </c>
      <c r="G58">
        <f t="shared" si="2"/>
        <v>-177.142857142857</v>
      </c>
    </row>
    <row r="59" spans="1:7" x14ac:dyDescent="0.3">
      <c r="A59">
        <v>1</v>
      </c>
      <c r="B59">
        <f t="shared" si="0"/>
        <v>-1</v>
      </c>
      <c r="D59">
        <v>1</v>
      </c>
      <c r="E59">
        <f t="shared" si="1"/>
        <v>-1</v>
      </c>
      <c r="F59">
        <v>178.09523809523799</v>
      </c>
      <c r="G59">
        <f t="shared" si="2"/>
        <v>-178.09523809523799</v>
      </c>
    </row>
    <row r="60" spans="1:7" x14ac:dyDescent="0.3">
      <c r="A60">
        <v>1</v>
      </c>
      <c r="B60">
        <f t="shared" si="0"/>
        <v>-1</v>
      </c>
      <c r="D60">
        <v>1</v>
      </c>
      <c r="E60">
        <f t="shared" si="1"/>
        <v>-1</v>
      </c>
      <c r="F60">
        <v>380</v>
      </c>
      <c r="G60">
        <f t="shared" si="2"/>
        <v>-380</v>
      </c>
    </row>
    <row r="61" spans="1:7" x14ac:dyDescent="0.3">
      <c r="A61">
        <v>1</v>
      </c>
      <c r="B61">
        <f t="shared" si="0"/>
        <v>-1</v>
      </c>
      <c r="D61">
        <v>1</v>
      </c>
      <c r="E61">
        <f t="shared" si="1"/>
        <v>-1</v>
      </c>
      <c r="F61">
        <v>225.71428571428501</v>
      </c>
      <c r="G61">
        <f t="shared" si="2"/>
        <v>-225.71428571428501</v>
      </c>
    </row>
    <row r="62" spans="1:7" x14ac:dyDescent="0.3">
      <c r="A62">
        <v>1</v>
      </c>
      <c r="B62">
        <f t="shared" si="0"/>
        <v>-1</v>
      </c>
      <c r="D62">
        <v>1</v>
      </c>
      <c r="E62">
        <f t="shared" si="1"/>
        <v>-1</v>
      </c>
      <c r="F62">
        <v>224.76190476190399</v>
      </c>
      <c r="G62">
        <f t="shared" si="2"/>
        <v>-224.76190476190399</v>
      </c>
    </row>
    <row r="63" spans="1:7" x14ac:dyDescent="0.3">
      <c r="A63">
        <v>1</v>
      </c>
      <c r="B63">
        <f t="shared" si="0"/>
        <v>-1</v>
      </c>
      <c r="D63">
        <v>1</v>
      </c>
      <c r="E63">
        <f t="shared" si="1"/>
        <v>-1</v>
      </c>
      <c r="F63">
        <v>228.57142857142799</v>
      </c>
      <c r="G63">
        <f t="shared" si="2"/>
        <v>-228.57142857142799</v>
      </c>
    </row>
    <row r="64" spans="1:7" x14ac:dyDescent="0.3">
      <c r="A64">
        <v>1</v>
      </c>
      <c r="B64">
        <f t="shared" si="0"/>
        <v>-1</v>
      </c>
      <c r="D64">
        <v>1</v>
      </c>
      <c r="E64">
        <f t="shared" si="1"/>
        <v>-1</v>
      </c>
      <c r="F64">
        <v>177.142857142857</v>
      </c>
      <c r="G64">
        <f t="shared" si="2"/>
        <v>-177.142857142857</v>
      </c>
    </row>
    <row r="65" spans="1:7" x14ac:dyDescent="0.3">
      <c r="A65">
        <v>1</v>
      </c>
      <c r="B65">
        <f t="shared" si="0"/>
        <v>-1</v>
      </c>
      <c r="D65">
        <v>1</v>
      </c>
      <c r="E65">
        <f t="shared" si="1"/>
        <v>-1</v>
      </c>
      <c r="F65">
        <v>379.04761904761898</v>
      </c>
      <c r="G65">
        <f t="shared" si="2"/>
        <v>-379.04761904761898</v>
      </c>
    </row>
    <row r="66" spans="1:7" x14ac:dyDescent="0.3">
      <c r="A66">
        <v>1</v>
      </c>
      <c r="B66">
        <f t="shared" ref="B66:B129" si="3">-A66</f>
        <v>-1</v>
      </c>
      <c r="D66">
        <v>1</v>
      </c>
      <c r="E66">
        <f t="shared" ref="E66:E129" si="4">-D66</f>
        <v>-1</v>
      </c>
      <c r="F66">
        <v>225.71428571428501</v>
      </c>
      <c r="G66">
        <f t="shared" ref="G66:G129" si="5">-F66</f>
        <v>-225.71428571428501</v>
      </c>
    </row>
    <row r="67" spans="1:7" x14ac:dyDescent="0.3">
      <c r="A67">
        <v>1</v>
      </c>
      <c r="B67">
        <f t="shared" si="3"/>
        <v>-1</v>
      </c>
      <c r="D67">
        <v>1</v>
      </c>
      <c r="E67">
        <f t="shared" si="4"/>
        <v>-1</v>
      </c>
      <c r="F67">
        <v>370.47619047619003</v>
      </c>
      <c r="G67">
        <f t="shared" si="5"/>
        <v>-370.47619047619003</v>
      </c>
    </row>
    <row r="68" spans="1:7" x14ac:dyDescent="0.3">
      <c r="A68">
        <v>1</v>
      </c>
      <c r="B68">
        <f t="shared" si="3"/>
        <v>-1</v>
      </c>
      <c r="D68">
        <v>1</v>
      </c>
      <c r="E68">
        <f t="shared" si="4"/>
        <v>-1</v>
      </c>
      <c r="F68">
        <v>221.90476190476099</v>
      </c>
      <c r="G68">
        <f t="shared" si="5"/>
        <v>-221.90476190476099</v>
      </c>
    </row>
    <row r="69" spans="1:7" x14ac:dyDescent="0.3">
      <c r="A69">
        <v>1</v>
      </c>
      <c r="B69">
        <f t="shared" si="3"/>
        <v>-1</v>
      </c>
      <c r="D69">
        <v>1</v>
      </c>
      <c r="E69">
        <f t="shared" si="4"/>
        <v>-1</v>
      </c>
      <c r="F69">
        <v>380</v>
      </c>
      <c r="G69">
        <f t="shared" si="5"/>
        <v>-380</v>
      </c>
    </row>
    <row r="70" spans="1:7" x14ac:dyDescent="0.3">
      <c r="A70">
        <v>1</v>
      </c>
      <c r="B70">
        <f t="shared" si="3"/>
        <v>-1</v>
      </c>
      <c r="D70">
        <v>1</v>
      </c>
      <c r="E70">
        <f t="shared" si="4"/>
        <v>-1</v>
      </c>
      <c r="F70">
        <v>172.38095238095201</v>
      </c>
      <c r="G70">
        <f t="shared" si="5"/>
        <v>-172.38095238095201</v>
      </c>
    </row>
    <row r="71" spans="1:7" x14ac:dyDescent="0.3">
      <c r="A71">
        <v>1</v>
      </c>
      <c r="B71">
        <f t="shared" si="3"/>
        <v>-1</v>
      </c>
      <c r="D71">
        <v>1</v>
      </c>
      <c r="E71">
        <f t="shared" si="4"/>
        <v>-1</v>
      </c>
      <c r="F71">
        <v>369.52380952380901</v>
      </c>
      <c r="G71">
        <f t="shared" si="5"/>
        <v>-369.52380952380901</v>
      </c>
    </row>
    <row r="72" spans="1:7" x14ac:dyDescent="0.3">
      <c r="A72">
        <v>1</v>
      </c>
      <c r="B72">
        <f t="shared" si="3"/>
        <v>-1</v>
      </c>
      <c r="D72">
        <v>1</v>
      </c>
      <c r="E72">
        <f t="shared" si="4"/>
        <v>-1</v>
      </c>
      <c r="F72">
        <v>169.52380952380901</v>
      </c>
      <c r="G72">
        <f t="shared" si="5"/>
        <v>-169.52380952380901</v>
      </c>
    </row>
    <row r="73" spans="1:7" x14ac:dyDescent="0.3">
      <c r="A73">
        <v>1</v>
      </c>
      <c r="B73">
        <f t="shared" si="3"/>
        <v>-1</v>
      </c>
      <c r="D73">
        <v>1</v>
      </c>
      <c r="E73">
        <f t="shared" si="4"/>
        <v>-1</v>
      </c>
      <c r="F73">
        <v>172.38095238095201</v>
      </c>
      <c r="G73">
        <f t="shared" si="5"/>
        <v>-172.38095238095201</v>
      </c>
    </row>
    <row r="74" spans="1:7" x14ac:dyDescent="0.3">
      <c r="A74">
        <v>1</v>
      </c>
      <c r="B74">
        <f t="shared" si="3"/>
        <v>-1</v>
      </c>
      <c r="D74">
        <v>1</v>
      </c>
      <c r="E74">
        <f t="shared" si="4"/>
        <v>-1</v>
      </c>
      <c r="F74">
        <v>326.666666666666</v>
      </c>
      <c r="G74">
        <f t="shared" si="5"/>
        <v>-326.666666666666</v>
      </c>
    </row>
    <row r="75" spans="1:7" x14ac:dyDescent="0.3">
      <c r="A75">
        <v>1</v>
      </c>
      <c r="B75">
        <f t="shared" si="3"/>
        <v>-1</v>
      </c>
      <c r="D75">
        <v>1</v>
      </c>
      <c r="E75">
        <f t="shared" si="4"/>
        <v>-1</v>
      </c>
      <c r="F75">
        <v>369.52380952380901</v>
      </c>
      <c r="G75">
        <f t="shared" si="5"/>
        <v>-369.52380952380901</v>
      </c>
    </row>
    <row r="76" spans="1:7" x14ac:dyDescent="0.3">
      <c r="A76">
        <v>1</v>
      </c>
      <c r="B76">
        <f t="shared" si="3"/>
        <v>-1</v>
      </c>
      <c r="D76">
        <v>1</v>
      </c>
      <c r="E76">
        <f t="shared" si="4"/>
        <v>-1</v>
      </c>
      <c r="F76">
        <v>375.23809523809501</v>
      </c>
      <c r="G76">
        <f t="shared" si="5"/>
        <v>-375.23809523809501</v>
      </c>
    </row>
    <row r="77" spans="1:7" x14ac:dyDescent="0.3">
      <c r="A77">
        <v>1</v>
      </c>
      <c r="B77">
        <f t="shared" si="3"/>
        <v>-1</v>
      </c>
      <c r="D77">
        <v>1</v>
      </c>
      <c r="E77">
        <f t="shared" si="4"/>
        <v>-1</v>
      </c>
      <c r="F77">
        <v>370.47619047619003</v>
      </c>
      <c r="G77">
        <f t="shared" si="5"/>
        <v>-370.47619047619003</v>
      </c>
    </row>
    <row r="78" spans="1:7" x14ac:dyDescent="0.3">
      <c r="A78">
        <v>3</v>
      </c>
      <c r="B78">
        <f t="shared" si="3"/>
        <v>-3</v>
      </c>
      <c r="D78">
        <v>3</v>
      </c>
      <c r="E78">
        <f t="shared" si="4"/>
        <v>-3</v>
      </c>
      <c r="F78">
        <v>1140</v>
      </c>
      <c r="G78">
        <f t="shared" si="5"/>
        <v>-1140</v>
      </c>
    </row>
    <row r="79" spans="1:7" x14ac:dyDescent="0.3">
      <c r="A79">
        <v>1</v>
      </c>
      <c r="B79">
        <f t="shared" si="3"/>
        <v>-1</v>
      </c>
      <c r="D79">
        <v>1</v>
      </c>
      <c r="E79">
        <f t="shared" si="4"/>
        <v>-1</v>
      </c>
      <c r="F79">
        <v>380</v>
      </c>
      <c r="G79">
        <f t="shared" si="5"/>
        <v>-380</v>
      </c>
    </row>
    <row r="80" spans="1:7" x14ac:dyDescent="0.3">
      <c r="A80">
        <v>1</v>
      </c>
      <c r="B80">
        <f t="shared" si="3"/>
        <v>-1</v>
      </c>
      <c r="D80">
        <v>1</v>
      </c>
      <c r="E80">
        <f t="shared" si="4"/>
        <v>-1</v>
      </c>
      <c r="F80">
        <v>352.38095238095201</v>
      </c>
      <c r="G80">
        <f t="shared" si="5"/>
        <v>-352.38095238095201</v>
      </c>
    </row>
    <row r="81" spans="1:7" x14ac:dyDescent="0.3">
      <c r="A81">
        <v>1</v>
      </c>
      <c r="B81">
        <f t="shared" si="3"/>
        <v>-1</v>
      </c>
      <c r="D81">
        <v>1</v>
      </c>
      <c r="E81">
        <f t="shared" si="4"/>
        <v>-1</v>
      </c>
      <c r="F81">
        <v>224.76190476190399</v>
      </c>
      <c r="G81">
        <f t="shared" si="5"/>
        <v>-224.76190476190399</v>
      </c>
    </row>
    <row r="82" spans="1:7" x14ac:dyDescent="0.3">
      <c r="A82">
        <v>1</v>
      </c>
      <c r="B82">
        <f t="shared" si="3"/>
        <v>-1</v>
      </c>
      <c r="D82">
        <v>1</v>
      </c>
      <c r="E82">
        <f t="shared" si="4"/>
        <v>-1</v>
      </c>
      <c r="F82">
        <v>212.38095238095201</v>
      </c>
      <c r="G82">
        <f t="shared" si="5"/>
        <v>-212.38095238095201</v>
      </c>
    </row>
    <row r="83" spans="1:7" x14ac:dyDescent="0.3">
      <c r="A83">
        <v>1</v>
      </c>
      <c r="B83">
        <f t="shared" si="3"/>
        <v>-1</v>
      </c>
      <c r="D83">
        <v>1</v>
      </c>
      <c r="E83">
        <f t="shared" si="4"/>
        <v>-1</v>
      </c>
      <c r="F83">
        <v>215.23809523809501</v>
      </c>
      <c r="G83">
        <f t="shared" si="5"/>
        <v>-215.23809523809501</v>
      </c>
    </row>
    <row r="84" spans="1:7" x14ac:dyDescent="0.3">
      <c r="A84">
        <v>1</v>
      </c>
      <c r="B84">
        <f t="shared" si="3"/>
        <v>-1</v>
      </c>
      <c r="D84">
        <v>1</v>
      </c>
      <c r="E84">
        <f t="shared" si="4"/>
        <v>-1</v>
      </c>
      <c r="F84">
        <v>177.142857142857</v>
      </c>
      <c r="G84">
        <f t="shared" si="5"/>
        <v>-177.142857142857</v>
      </c>
    </row>
    <row r="85" spans="1:7" x14ac:dyDescent="0.3">
      <c r="A85">
        <v>1</v>
      </c>
      <c r="B85">
        <f t="shared" si="3"/>
        <v>-1</v>
      </c>
      <c r="D85">
        <v>1</v>
      </c>
      <c r="E85">
        <f t="shared" si="4"/>
        <v>-1</v>
      </c>
      <c r="F85">
        <v>168.57142857142799</v>
      </c>
      <c r="G85">
        <f t="shared" si="5"/>
        <v>-168.57142857142799</v>
      </c>
    </row>
    <row r="86" spans="1:7" x14ac:dyDescent="0.3">
      <c r="A86">
        <v>1</v>
      </c>
      <c r="B86">
        <f t="shared" si="3"/>
        <v>-1</v>
      </c>
      <c r="D86">
        <v>1</v>
      </c>
      <c r="E86">
        <f t="shared" si="4"/>
        <v>-1</v>
      </c>
      <c r="F86">
        <v>300</v>
      </c>
      <c r="G86">
        <f t="shared" si="5"/>
        <v>-300</v>
      </c>
    </row>
    <row r="87" spans="1:7" x14ac:dyDescent="0.3">
      <c r="A87">
        <v>1</v>
      </c>
      <c r="B87">
        <f t="shared" si="3"/>
        <v>-1</v>
      </c>
      <c r="D87">
        <v>1</v>
      </c>
      <c r="E87">
        <f t="shared" si="4"/>
        <v>-1</v>
      </c>
      <c r="F87">
        <v>163.809523809523</v>
      </c>
      <c r="G87">
        <f t="shared" si="5"/>
        <v>-163.809523809523</v>
      </c>
    </row>
    <row r="88" spans="1:7" x14ac:dyDescent="0.3">
      <c r="A88">
        <v>1</v>
      </c>
      <c r="B88">
        <f t="shared" si="3"/>
        <v>-1</v>
      </c>
      <c r="D88">
        <v>1</v>
      </c>
      <c r="E88">
        <f t="shared" si="4"/>
        <v>-1</v>
      </c>
      <c r="F88">
        <v>370.47619047619003</v>
      </c>
      <c r="G88">
        <f t="shared" si="5"/>
        <v>-370.47619047619003</v>
      </c>
    </row>
    <row r="89" spans="1:7" x14ac:dyDescent="0.3">
      <c r="A89">
        <v>1</v>
      </c>
      <c r="B89">
        <f t="shared" si="3"/>
        <v>-1</v>
      </c>
      <c r="D89">
        <v>1</v>
      </c>
      <c r="E89">
        <f t="shared" si="4"/>
        <v>-1</v>
      </c>
      <c r="F89">
        <v>169.52380952380901</v>
      </c>
      <c r="G89">
        <f t="shared" si="5"/>
        <v>-169.52380952380901</v>
      </c>
    </row>
    <row r="90" spans="1:7" x14ac:dyDescent="0.3">
      <c r="A90">
        <v>1</v>
      </c>
      <c r="B90">
        <f t="shared" si="3"/>
        <v>-1</v>
      </c>
      <c r="D90">
        <v>1</v>
      </c>
      <c r="E90">
        <f t="shared" si="4"/>
        <v>-1</v>
      </c>
      <c r="F90">
        <v>172.38095238095201</v>
      </c>
      <c r="G90">
        <f t="shared" si="5"/>
        <v>-172.38095238095201</v>
      </c>
    </row>
    <row r="91" spans="1:7" x14ac:dyDescent="0.3">
      <c r="A91">
        <v>1</v>
      </c>
      <c r="B91">
        <f t="shared" si="3"/>
        <v>-1</v>
      </c>
      <c r="D91">
        <v>1</v>
      </c>
      <c r="E91">
        <f t="shared" si="4"/>
        <v>-1</v>
      </c>
      <c r="F91">
        <v>225.71428571428501</v>
      </c>
      <c r="G91">
        <f t="shared" si="5"/>
        <v>-225.71428571428501</v>
      </c>
    </row>
    <row r="92" spans="1:7" x14ac:dyDescent="0.3">
      <c r="A92">
        <v>1</v>
      </c>
      <c r="B92">
        <f t="shared" si="3"/>
        <v>-1</v>
      </c>
      <c r="D92">
        <v>1</v>
      </c>
      <c r="E92">
        <f t="shared" si="4"/>
        <v>-1</v>
      </c>
      <c r="F92">
        <v>190.47619047619</v>
      </c>
      <c r="G92">
        <f t="shared" si="5"/>
        <v>-190.47619047619</v>
      </c>
    </row>
    <row r="93" spans="1:7" x14ac:dyDescent="0.3">
      <c r="A93">
        <v>1</v>
      </c>
      <c r="B93">
        <f t="shared" si="3"/>
        <v>-1</v>
      </c>
      <c r="D93">
        <v>1</v>
      </c>
      <c r="E93">
        <f t="shared" si="4"/>
        <v>-1</v>
      </c>
      <c r="F93">
        <v>190.47619047619</v>
      </c>
      <c r="G93">
        <f t="shared" si="5"/>
        <v>-190.47619047619</v>
      </c>
    </row>
    <row r="94" spans="1:7" x14ac:dyDescent="0.3">
      <c r="A94">
        <v>1</v>
      </c>
      <c r="B94">
        <f t="shared" si="3"/>
        <v>-1</v>
      </c>
      <c r="D94">
        <v>1</v>
      </c>
      <c r="E94">
        <f t="shared" si="4"/>
        <v>-1</v>
      </c>
      <c r="F94">
        <v>177.142857142857</v>
      </c>
      <c r="G94">
        <f t="shared" si="5"/>
        <v>-177.142857142857</v>
      </c>
    </row>
    <row r="95" spans="1:7" x14ac:dyDescent="0.3">
      <c r="A95">
        <v>1</v>
      </c>
      <c r="B95">
        <f t="shared" si="3"/>
        <v>-1</v>
      </c>
      <c r="D95">
        <v>1</v>
      </c>
      <c r="E95">
        <f t="shared" si="4"/>
        <v>-1</v>
      </c>
      <c r="F95">
        <v>178.09523809523799</v>
      </c>
      <c r="G95">
        <f t="shared" si="5"/>
        <v>-178.09523809523799</v>
      </c>
    </row>
    <row r="96" spans="1:7" x14ac:dyDescent="0.3">
      <c r="A96">
        <v>1</v>
      </c>
      <c r="B96">
        <f t="shared" si="3"/>
        <v>-1</v>
      </c>
      <c r="D96">
        <v>1</v>
      </c>
      <c r="E96">
        <f t="shared" si="4"/>
        <v>-1</v>
      </c>
      <c r="F96">
        <v>177.142857142857</v>
      </c>
      <c r="G96">
        <f t="shared" si="5"/>
        <v>-177.142857142857</v>
      </c>
    </row>
    <row r="97" spans="1:7" x14ac:dyDescent="0.3">
      <c r="A97">
        <v>1</v>
      </c>
      <c r="B97">
        <f t="shared" si="3"/>
        <v>-1</v>
      </c>
      <c r="D97">
        <v>1</v>
      </c>
      <c r="E97">
        <f t="shared" si="4"/>
        <v>-1</v>
      </c>
      <c r="F97">
        <v>376.19047619047598</v>
      </c>
      <c r="G97">
        <f t="shared" si="5"/>
        <v>-376.19047619047598</v>
      </c>
    </row>
    <row r="98" spans="1:7" x14ac:dyDescent="0.3">
      <c r="A98">
        <v>1</v>
      </c>
      <c r="B98">
        <f t="shared" si="3"/>
        <v>-1</v>
      </c>
      <c r="D98">
        <v>1</v>
      </c>
      <c r="E98">
        <f t="shared" si="4"/>
        <v>-1</v>
      </c>
      <c r="F98">
        <v>190.47619047619</v>
      </c>
      <c r="G98">
        <f t="shared" si="5"/>
        <v>-190.47619047619</v>
      </c>
    </row>
    <row r="99" spans="1:7" x14ac:dyDescent="0.3">
      <c r="A99">
        <v>1</v>
      </c>
      <c r="B99">
        <f t="shared" si="3"/>
        <v>-1</v>
      </c>
      <c r="D99">
        <v>1</v>
      </c>
      <c r="E99">
        <f t="shared" si="4"/>
        <v>-1</v>
      </c>
      <c r="F99">
        <v>369.52380952380901</v>
      </c>
      <c r="G99">
        <f t="shared" si="5"/>
        <v>-369.52380952380901</v>
      </c>
    </row>
    <row r="100" spans="1:7" x14ac:dyDescent="0.3">
      <c r="A100">
        <v>1</v>
      </c>
      <c r="B100">
        <f t="shared" si="3"/>
        <v>-1</v>
      </c>
      <c r="D100">
        <v>1</v>
      </c>
      <c r="E100">
        <f t="shared" si="4"/>
        <v>-1</v>
      </c>
      <c r="F100">
        <v>177.142857142857</v>
      </c>
      <c r="G100">
        <f t="shared" si="5"/>
        <v>-177.142857142857</v>
      </c>
    </row>
    <row r="101" spans="1:7" x14ac:dyDescent="0.3">
      <c r="A101">
        <v>1</v>
      </c>
      <c r="B101">
        <f t="shared" si="3"/>
        <v>-1</v>
      </c>
      <c r="D101">
        <v>1</v>
      </c>
      <c r="E101">
        <f t="shared" si="4"/>
        <v>-1</v>
      </c>
      <c r="F101">
        <v>246.666666666666</v>
      </c>
      <c r="G101">
        <f t="shared" si="5"/>
        <v>-246.666666666666</v>
      </c>
    </row>
    <row r="102" spans="1:7" x14ac:dyDescent="0.3">
      <c r="A102">
        <v>1</v>
      </c>
      <c r="B102">
        <f t="shared" si="3"/>
        <v>-1</v>
      </c>
      <c r="D102">
        <v>1</v>
      </c>
      <c r="E102">
        <f t="shared" si="4"/>
        <v>-1</v>
      </c>
      <c r="F102">
        <v>370.47619047619003</v>
      </c>
      <c r="G102">
        <f t="shared" si="5"/>
        <v>-370.47619047619003</v>
      </c>
    </row>
    <row r="103" spans="1:7" x14ac:dyDescent="0.3">
      <c r="A103">
        <v>1</v>
      </c>
      <c r="B103">
        <f t="shared" si="3"/>
        <v>-1</v>
      </c>
      <c r="D103">
        <v>1</v>
      </c>
      <c r="E103">
        <f t="shared" si="4"/>
        <v>-1</v>
      </c>
      <c r="F103">
        <v>177.142857142857</v>
      </c>
      <c r="G103">
        <f t="shared" si="5"/>
        <v>-177.142857142857</v>
      </c>
    </row>
    <row r="104" spans="1:7" x14ac:dyDescent="0.3">
      <c r="A104">
        <v>1</v>
      </c>
      <c r="B104">
        <f t="shared" si="3"/>
        <v>-1</v>
      </c>
      <c r="D104">
        <v>1</v>
      </c>
      <c r="E104">
        <f t="shared" si="4"/>
        <v>-1</v>
      </c>
      <c r="F104">
        <v>179.04761904761901</v>
      </c>
      <c r="G104">
        <f t="shared" si="5"/>
        <v>-179.04761904761901</v>
      </c>
    </row>
    <row r="105" spans="1:7" x14ac:dyDescent="0.3">
      <c r="A105">
        <v>1</v>
      </c>
      <c r="B105">
        <f t="shared" si="3"/>
        <v>-1</v>
      </c>
      <c r="D105">
        <v>1</v>
      </c>
      <c r="E105">
        <f t="shared" si="4"/>
        <v>-1</v>
      </c>
      <c r="F105">
        <v>364.76190476190402</v>
      </c>
      <c r="G105">
        <f t="shared" si="5"/>
        <v>-364.76190476190402</v>
      </c>
    </row>
    <row r="106" spans="1:7" x14ac:dyDescent="0.3">
      <c r="A106">
        <v>1</v>
      </c>
      <c r="B106">
        <f t="shared" si="3"/>
        <v>-1</v>
      </c>
      <c r="D106">
        <v>1</v>
      </c>
      <c r="E106">
        <f t="shared" si="4"/>
        <v>-1</v>
      </c>
      <c r="F106">
        <v>172.38095238095201</v>
      </c>
      <c r="G106">
        <f t="shared" si="5"/>
        <v>-172.38095238095201</v>
      </c>
    </row>
    <row r="107" spans="1:7" x14ac:dyDescent="0.3">
      <c r="A107">
        <v>1</v>
      </c>
      <c r="B107">
        <f t="shared" si="3"/>
        <v>-1</v>
      </c>
      <c r="D107">
        <v>1</v>
      </c>
      <c r="E107">
        <f t="shared" si="4"/>
        <v>-1</v>
      </c>
      <c r="F107">
        <v>177.142857142857</v>
      </c>
      <c r="G107">
        <f t="shared" si="5"/>
        <v>-177.142857142857</v>
      </c>
    </row>
    <row r="108" spans="1:7" x14ac:dyDescent="0.3">
      <c r="A108">
        <v>1</v>
      </c>
      <c r="B108">
        <f t="shared" si="3"/>
        <v>-1</v>
      </c>
      <c r="D108">
        <v>1</v>
      </c>
      <c r="E108">
        <f t="shared" si="4"/>
        <v>-1</v>
      </c>
      <c r="F108">
        <v>370.47619047619003</v>
      </c>
      <c r="G108">
        <f t="shared" si="5"/>
        <v>-370.47619047619003</v>
      </c>
    </row>
    <row r="109" spans="1:7" x14ac:dyDescent="0.3">
      <c r="A109">
        <v>1</v>
      </c>
      <c r="B109">
        <f t="shared" si="3"/>
        <v>-1</v>
      </c>
      <c r="D109">
        <v>1</v>
      </c>
      <c r="E109">
        <f t="shared" si="4"/>
        <v>-1</v>
      </c>
      <c r="F109">
        <v>331.42857142857099</v>
      </c>
      <c r="G109">
        <f t="shared" si="5"/>
        <v>-331.42857142857099</v>
      </c>
    </row>
    <row r="110" spans="1:7" x14ac:dyDescent="0.3">
      <c r="A110">
        <v>1</v>
      </c>
      <c r="B110">
        <f t="shared" si="3"/>
        <v>-1</v>
      </c>
      <c r="D110">
        <v>1</v>
      </c>
      <c r="E110">
        <f t="shared" si="4"/>
        <v>-1</v>
      </c>
      <c r="F110">
        <v>360</v>
      </c>
      <c r="G110">
        <f t="shared" si="5"/>
        <v>-360</v>
      </c>
    </row>
    <row r="111" spans="1:7" x14ac:dyDescent="0.3">
      <c r="A111">
        <v>1</v>
      </c>
      <c r="B111">
        <f t="shared" si="3"/>
        <v>-1</v>
      </c>
      <c r="D111">
        <v>1</v>
      </c>
      <c r="E111">
        <f t="shared" si="4"/>
        <v>-1</v>
      </c>
      <c r="F111">
        <v>369.52380952380901</v>
      </c>
      <c r="G111">
        <f t="shared" si="5"/>
        <v>-369.52380952380901</v>
      </c>
    </row>
    <row r="112" spans="1:7" x14ac:dyDescent="0.3">
      <c r="A112">
        <v>1</v>
      </c>
      <c r="B112">
        <f t="shared" si="3"/>
        <v>-1</v>
      </c>
      <c r="D112">
        <v>1</v>
      </c>
      <c r="E112">
        <f t="shared" si="4"/>
        <v>-1</v>
      </c>
      <c r="F112">
        <v>238.09523809523799</v>
      </c>
      <c r="G112">
        <f t="shared" si="5"/>
        <v>-238.09523809523799</v>
      </c>
    </row>
    <row r="113" spans="1:7" x14ac:dyDescent="0.3">
      <c r="A113">
        <v>1</v>
      </c>
      <c r="B113">
        <f t="shared" si="3"/>
        <v>-1</v>
      </c>
      <c r="D113">
        <v>1</v>
      </c>
      <c r="E113">
        <f t="shared" si="4"/>
        <v>-1</v>
      </c>
      <c r="F113">
        <v>217.142857142857</v>
      </c>
      <c r="G113">
        <f t="shared" si="5"/>
        <v>-217.142857142857</v>
      </c>
    </row>
    <row r="114" spans="1:7" x14ac:dyDescent="0.3">
      <c r="A114">
        <v>1</v>
      </c>
      <c r="B114">
        <f t="shared" si="3"/>
        <v>-1</v>
      </c>
      <c r="D114">
        <v>1</v>
      </c>
      <c r="E114">
        <f t="shared" si="4"/>
        <v>-1</v>
      </c>
      <c r="F114">
        <v>370.47619047619003</v>
      </c>
      <c r="G114">
        <f t="shared" si="5"/>
        <v>-370.47619047619003</v>
      </c>
    </row>
    <row r="115" spans="1:7" x14ac:dyDescent="0.3">
      <c r="A115">
        <v>1</v>
      </c>
      <c r="B115">
        <f t="shared" si="3"/>
        <v>-1</v>
      </c>
      <c r="D115">
        <v>1</v>
      </c>
      <c r="E115">
        <f t="shared" si="4"/>
        <v>-1</v>
      </c>
      <c r="F115">
        <v>229.52380952380901</v>
      </c>
      <c r="G115">
        <f t="shared" si="5"/>
        <v>-229.52380952380901</v>
      </c>
    </row>
    <row r="116" spans="1:7" x14ac:dyDescent="0.3">
      <c r="A116">
        <v>1</v>
      </c>
      <c r="B116">
        <f t="shared" si="3"/>
        <v>-1</v>
      </c>
      <c r="D116">
        <v>1</v>
      </c>
      <c r="E116">
        <f t="shared" si="4"/>
        <v>-1</v>
      </c>
      <c r="F116">
        <v>168.57142857142799</v>
      </c>
      <c r="G116">
        <f t="shared" si="5"/>
        <v>-168.57142857142799</v>
      </c>
    </row>
    <row r="117" spans="1:7" x14ac:dyDescent="0.3">
      <c r="A117">
        <v>1</v>
      </c>
      <c r="B117">
        <f t="shared" si="3"/>
        <v>-1</v>
      </c>
      <c r="D117">
        <v>1</v>
      </c>
      <c r="E117">
        <f t="shared" si="4"/>
        <v>-1</v>
      </c>
      <c r="F117">
        <v>369.52380952380901</v>
      </c>
      <c r="G117">
        <f t="shared" si="5"/>
        <v>-369.52380952380901</v>
      </c>
    </row>
    <row r="118" spans="1:7" x14ac:dyDescent="0.3">
      <c r="A118">
        <v>1</v>
      </c>
      <c r="B118">
        <f t="shared" si="3"/>
        <v>-1</v>
      </c>
      <c r="D118">
        <v>1</v>
      </c>
      <c r="E118">
        <f t="shared" si="4"/>
        <v>-1</v>
      </c>
      <c r="F118">
        <v>364.76190476190402</v>
      </c>
      <c r="G118">
        <f t="shared" si="5"/>
        <v>-364.76190476190402</v>
      </c>
    </row>
    <row r="119" spans="1:7" x14ac:dyDescent="0.3">
      <c r="A119">
        <v>1</v>
      </c>
      <c r="B119">
        <f t="shared" si="3"/>
        <v>-1</v>
      </c>
      <c r="D119">
        <v>1</v>
      </c>
      <c r="E119">
        <f t="shared" si="4"/>
        <v>-1</v>
      </c>
      <c r="F119">
        <v>353.33333333333297</v>
      </c>
      <c r="G119">
        <f t="shared" si="5"/>
        <v>-353.33333333333297</v>
      </c>
    </row>
    <row r="120" spans="1:7" x14ac:dyDescent="0.3">
      <c r="A120">
        <v>1</v>
      </c>
      <c r="B120">
        <f t="shared" si="3"/>
        <v>-1</v>
      </c>
      <c r="D120">
        <v>1</v>
      </c>
      <c r="E120">
        <f t="shared" si="4"/>
        <v>-1</v>
      </c>
      <c r="F120">
        <v>177.142857142857</v>
      </c>
      <c r="G120">
        <f t="shared" si="5"/>
        <v>-177.142857142857</v>
      </c>
    </row>
    <row r="121" spans="1:7" x14ac:dyDescent="0.3">
      <c r="A121">
        <v>1</v>
      </c>
      <c r="B121">
        <f t="shared" si="3"/>
        <v>-1</v>
      </c>
      <c r="D121">
        <v>1</v>
      </c>
      <c r="E121">
        <f t="shared" si="4"/>
        <v>-1</v>
      </c>
      <c r="F121">
        <v>355.23809523809501</v>
      </c>
      <c r="G121">
        <f t="shared" si="5"/>
        <v>-355.23809523809501</v>
      </c>
    </row>
    <row r="122" spans="1:7" x14ac:dyDescent="0.3">
      <c r="A122">
        <v>1</v>
      </c>
      <c r="B122">
        <f t="shared" si="3"/>
        <v>-1</v>
      </c>
      <c r="D122">
        <v>1</v>
      </c>
      <c r="E122">
        <f t="shared" si="4"/>
        <v>-1</v>
      </c>
      <c r="F122">
        <v>200.95238095238</v>
      </c>
      <c r="G122">
        <f t="shared" si="5"/>
        <v>-200.95238095238</v>
      </c>
    </row>
    <row r="123" spans="1:7" x14ac:dyDescent="0.3">
      <c r="A123">
        <v>1</v>
      </c>
      <c r="B123">
        <f t="shared" si="3"/>
        <v>-1</v>
      </c>
      <c r="D123">
        <v>1</v>
      </c>
      <c r="E123">
        <f t="shared" si="4"/>
        <v>-1</v>
      </c>
      <c r="F123">
        <v>177.142857142857</v>
      </c>
      <c r="G123">
        <f t="shared" si="5"/>
        <v>-177.142857142857</v>
      </c>
    </row>
    <row r="124" spans="1:7" x14ac:dyDescent="0.3">
      <c r="A124">
        <v>1</v>
      </c>
      <c r="B124">
        <f t="shared" si="3"/>
        <v>-1</v>
      </c>
      <c r="D124">
        <v>1</v>
      </c>
      <c r="E124">
        <f t="shared" si="4"/>
        <v>-1</v>
      </c>
      <c r="F124">
        <v>224.76190476190399</v>
      </c>
      <c r="G124">
        <f t="shared" si="5"/>
        <v>-224.76190476190399</v>
      </c>
    </row>
    <row r="125" spans="1:7" x14ac:dyDescent="0.3">
      <c r="A125">
        <v>1</v>
      </c>
      <c r="B125">
        <f t="shared" si="3"/>
        <v>-1</v>
      </c>
      <c r="D125">
        <v>1</v>
      </c>
      <c r="E125">
        <f t="shared" si="4"/>
        <v>-1</v>
      </c>
      <c r="F125">
        <v>352.38095238095201</v>
      </c>
      <c r="G125">
        <f t="shared" si="5"/>
        <v>-352.38095238095201</v>
      </c>
    </row>
    <row r="126" spans="1:7" x14ac:dyDescent="0.3">
      <c r="A126">
        <v>1</v>
      </c>
      <c r="B126">
        <f t="shared" si="3"/>
        <v>-1</v>
      </c>
      <c r="D126">
        <v>1</v>
      </c>
      <c r="E126">
        <f t="shared" si="4"/>
        <v>-1</v>
      </c>
      <c r="F126">
        <v>225.71428571428501</v>
      </c>
      <c r="G126">
        <f t="shared" si="5"/>
        <v>-225.71428571428501</v>
      </c>
    </row>
    <row r="127" spans="1:7" x14ac:dyDescent="0.3">
      <c r="A127">
        <v>1</v>
      </c>
      <c r="B127">
        <f t="shared" si="3"/>
        <v>-1</v>
      </c>
      <c r="D127">
        <v>1</v>
      </c>
      <c r="E127">
        <f t="shared" si="4"/>
        <v>-1</v>
      </c>
      <c r="F127">
        <v>349.52380952380901</v>
      </c>
      <c r="G127">
        <f t="shared" si="5"/>
        <v>-349.52380952380901</v>
      </c>
    </row>
    <row r="128" spans="1:7" x14ac:dyDescent="0.3">
      <c r="A128">
        <v>1</v>
      </c>
      <c r="B128">
        <f t="shared" si="3"/>
        <v>-1</v>
      </c>
      <c r="D128">
        <v>1</v>
      </c>
      <c r="E128">
        <f t="shared" si="4"/>
        <v>-1</v>
      </c>
      <c r="F128">
        <v>163.809523809523</v>
      </c>
      <c r="G128">
        <f t="shared" si="5"/>
        <v>-163.809523809523</v>
      </c>
    </row>
    <row r="129" spans="1:7" x14ac:dyDescent="0.3">
      <c r="A129">
        <v>1</v>
      </c>
      <c r="B129">
        <f t="shared" si="3"/>
        <v>-1</v>
      </c>
      <c r="D129">
        <v>1</v>
      </c>
      <c r="E129">
        <f t="shared" si="4"/>
        <v>-1</v>
      </c>
      <c r="F129">
        <v>365.71428571428498</v>
      </c>
      <c r="G129">
        <f t="shared" si="5"/>
        <v>-365.71428571428498</v>
      </c>
    </row>
    <row r="130" spans="1:7" x14ac:dyDescent="0.3">
      <c r="A130">
        <v>1</v>
      </c>
      <c r="B130">
        <f t="shared" ref="B130:B193" si="6">-A130</f>
        <v>-1</v>
      </c>
      <c r="D130">
        <v>1</v>
      </c>
      <c r="E130">
        <f t="shared" ref="E130:E154" si="7">-D130</f>
        <v>-1</v>
      </c>
      <c r="F130">
        <v>208.57142857142799</v>
      </c>
      <c r="G130">
        <f t="shared" ref="G130:G154" si="8">-F130</f>
        <v>-208.57142857142799</v>
      </c>
    </row>
    <row r="131" spans="1:7" x14ac:dyDescent="0.3">
      <c r="A131">
        <v>1</v>
      </c>
      <c r="B131">
        <f t="shared" si="6"/>
        <v>-1</v>
      </c>
      <c r="D131">
        <v>1</v>
      </c>
      <c r="E131">
        <f t="shared" si="7"/>
        <v>-1</v>
      </c>
      <c r="F131">
        <v>368.57142857142799</v>
      </c>
      <c r="G131">
        <f t="shared" si="8"/>
        <v>-368.57142857142799</v>
      </c>
    </row>
    <row r="132" spans="1:7" x14ac:dyDescent="0.3">
      <c r="A132">
        <v>1</v>
      </c>
      <c r="B132">
        <f t="shared" si="6"/>
        <v>-1</v>
      </c>
      <c r="D132">
        <v>1</v>
      </c>
      <c r="E132">
        <f t="shared" si="7"/>
        <v>-1</v>
      </c>
      <c r="F132">
        <v>177.142857142857</v>
      </c>
      <c r="G132">
        <f t="shared" si="8"/>
        <v>-177.142857142857</v>
      </c>
    </row>
    <row r="133" spans="1:7" x14ac:dyDescent="0.3">
      <c r="A133">
        <v>1</v>
      </c>
      <c r="B133">
        <f t="shared" si="6"/>
        <v>-1</v>
      </c>
      <c r="D133">
        <v>1</v>
      </c>
      <c r="E133">
        <f t="shared" si="7"/>
        <v>-1</v>
      </c>
      <c r="F133">
        <v>360</v>
      </c>
      <c r="G133">
        <f t="shared" si="8"/>
        <v>-360</v>
      </c>
    </row>
    <row r="134" spans="1:7" x14ac:dyDescent="0.3">
      <c r="A134">
        <v>1</v>
      </c>
      <c r="B134">
        <f t="shared" si="6"/>
        <v>-1</v>
      </c>
      <c r="D134">
        <v>1</v>
      </c>
      <c r="E134">
        <f t="shared" si="7"/>
        <v>-1</v>
      </c>
      <c r="F134">
        <v>380</v>
      </c>
      <c r="G134">
        <f t="shared" si="8"/>
        <v>-380</v>
      </c>
    </row>
    <row r="135" spans="1:7" x14ac:dyDescent="0.3">
      <c r="A135">
        <v>1</v>
      </c>
      <c r="B135">
        <f t="shared" si="6"/>
        <v>-1</v>
      </c>
      <c r="D135">
        <v>1</v>
      </c>
      <c r="E135">
        <f t="shared" si="7"/>
        <v>-1</v>
      </c>
      <c r="F135">
        <v>221.90476190476099</v>
      </c>
      <c r="G135">
        <f t="shared" si="8"/>
        <v>-221.90476190476099</v>
      </c>
    </row>
    <row r="136" spans="1:7" x14ac:dyDescent="0.3">
      <c r="A136">
        <v>1</v>
      </c>
      <c r="B136">
        <f t="shared" si="6"/>
        <v>-1</v>
      </c>
      <c r="D136">
        <v>1</v>
      </c>
      <c r="E136">
        <f t="shared" si="7"/>
        <v>-1</v>
      </c>
      <c r="F136">
        <v>380</v>
      </c>
      <c r="G136">
        <f t="shared" si="8"/>
        <v>-380</v>
      </c>
    </row>
    <row r="137" spans="1:7" x14ac:dyDescent="0.3">
      <c r="A137">
        <v>1</v>
      </c>
      <c r="B137">
        <f t="shared" si="6"/>
        <v>-1</v>
      </c>
      <c r="D137">
        <v>1</v>
      </c>
      <c r="E137">
        <f t="shared" si="7"/>
        <v>-1</v>
      </c>
      <c r="F137">
        <v>224.76190476190399</v>
      </c>
      <c r="G137">
        <f t="shared" si="8"/>
        <v>-224.76190476190399</v>
      </c>
    </row>
    <row r="138" spans="1:7" x14ac:dyDescent="0.3">
      <c r="A138">
        <v>1</v>
      </c>
      <c r="B138">
        <f t="shared" si="6"/>
        <v>-1</v>
      </c>
      <c r="D138">
        <v>1</v>
      </c>
      <c r="E138">
        <f t="shared" si="7"/>
        <v>-1</v>
      </c>
      <c r="F138">
        <v>174.28571428571399</v>
      </c>
      <c r="G138">
        <f t="shared" si="8"/>
        <v>-174.28571428571399</v>
      </c>
    </row>
    <row r="139" spans="1:7" x14ac:dyDescent="0.3">
      <c r="A139">
        <v>1</v>
      </c>
      <c r="B139">
        <f t="shared" si="6"/>
        <v>-1</v>
      </c>
      <c r="D139">
        <v>1</v>
      </c>
      <c r="E139">
        <f t="shared" si="7"/>
        <v>-1</v>
      </c>
      <c r="F139">
        <v>212.38095238095201</v>
      </c>
      <c r="G139">
        <f t="shared" si="8"/>
        <v>-212.38095238095201</v>
      </c>
    </row>
    <row r="140" spans="1:7" x14ac:dyDescent="0.3">
      <c r="A140">
        <v>1</v>
      </c>
      <c r="B140">
        <f t="shared" si="6"/>
        <v>-1</v>
      </c>
      <c r="D140">
        <v>1</v>
      </c>
      <c r="E140">
        <f t="shared" si="7"/>
        <v>-1</v>
      </c>
      <c r="F140">
        <v>376.19047619047598</v>
      </c>
      <c r="G140">
        <f t="shared" si="8"/>
        <v>-376.19047619047598</v>
      </c>
    </row>
    <row r="141" spans="1:7" x14ac:dyDescent="0.3">
      <c r="A141">
        <v>1</v>
      </c>
      <c r="B141">
        <f t="shared" si="6"/>
        <v>-1</v>
      </c>
      <c r="D141">
        <v>1</v>
      </c>
      <c r="E141">
        <f t="shared" si="7"/>
        <v>-1</v>
      </c>
      <c r="F141">
        <v>182.85714285714201</v>
      </c>
      <c r="G141">
        <f t="shared" si="8"/>
        <v>-182.85714285714201</v>
      </c>
    </row>
    <row r="142" spans="1:7" x14ac:dyDescent="0.3">
      <c r="A142">
        <v>1</v>
      </c>
      <c r="B142">
        <f t="shared" si="6"/>
        <v>-1</v>
      </c>
      <c r="D142">
        <v>1</v>
      </c>
      <c r="E142">
        <f t="shared" si="7"/>
        <v>-1</v>
      </c>
      <c r="F142">
        <v>368.57142857142799</v>
      </c>
      <c r="G142">
        <f t="shared" si="8"/>
        <v>-368.57142857142799</v>
      </c>
    </row>
    <row r="143" spans="1:7" x14ac:dyDescent="0.3">
      <c r="A143">
        <v>1</v>
      </c>
      <c r="B143">
        <f t="shared" si="6"/>
        <v>-1</v>
      </c>
      <c r="D143">
        <v>1</v>
      </c>
      <c r="E143">
        <f t="shared" si="7"/>
        <v>-1</v>
      </c>
      <c r="F143">
        <v>380</v>
      </c>
      <c r="G143">
        <f t="shared" si="8"/>
        <v>-380</v>
      </c>
    </row>
    <row r="144" spans="1:7" x14ac:dyDescent="0.3">
      <c r="A144">
        <v>1</v>
      </c>
      <c r="B144">
        <f t="shared" si="6"/>
        <v>-1</v>
      </c>
      <c r="D144">
        <v>1</v>
      </c>
      <c r="E144">
        <f t="shared" si="7"/>
        <v>-1</v>
      </c>
      <c r="F144">
        <v>352.38095238095201</v>
      </c>
      <c r="G144">
        <f t="shared" si="8"/>
        <v>-352.38095238095201</v>
      </c>
    </row>
    <row r="145" spans="1:7" x14ac:dyDescent="0.3">
      <c r="A145">
        <v>1</v>
      </c>
      <c r="B145">
        <f t="shared" si="6"/>
        <v>-1</v>
      </c>
      <c r="D145">
        <v>1</v>
      </c>
      <c r="E145">
        <f t="shared" si="7"/>
        <v>-1</v>
      </c>
      <c r="F145">
        <v>376.19047619047598</v>
      </c>
      <c r="G145">
        <f t="shared" si="8"/>
        <v>-376.19047619047598</v>
      </c>
    </row>
    <row r="146" spans="1:7" x14ac:dyDescent="0.3">
      <c r="A146">
        <v>1</v>
      </c>
      <c r="B146">
        <f t="shared" si="6"/>
        <v>-1</v>
      </c>
      <c r="D146">
        <v>1</v>
      </c>
      <c r="E146">
        <f t="shared" si="7"/>
        <v>-1</v>
      </c>
      <c r="F146">
        <v>364.76190476190402</v>
      </c>
      <c r="G146">
        <f t="shared" si="8"/>
        <v>-364.76190476190402</v>
      </c>
    </row>
    <row r="147" spans="1:7" x14ac:dyDescent="0.3">
      <c r="A147">
        <v>1</v>
      </c>
      <c r="B147">
        <f t="shared" si="6"/>
        <v>-1</v>
      </c>
      <c r="D147">
        <v>1</v>
      </c>
      <c r="E147">
        <f t="shared" si="7"/>
        <v>-1</v>
      </c>
      <c r="F147">
        <v>340</v>
      </c>
      <c r="G147">
        <f t="shared" si="8"/>
        <v>-340</v>
      </c>
    </row>
    <row r="148" spans="1:7" x14ac:dyDescent="0.3">
      <c r="A148">
        <v>1</v>
      </c>
      <c r="B148">
        <f t="shared" si="6"/>
        <v>-1</v>
      </c>
      <c r="D148">
        <v>1</v>
      </c>
      <c r="E148">
        <f t="shared" si="7"/>
        <v>-1</v>
      </c>
      <c r="F148">
        <v>343.809523809523</v>
      </c>
      <c r="G148">
        <f t="shared" si="8"/>
        <v>-343.809523809523</v>
      </c>
    </row>
    <row r="149" spans="1:7" x14ac:dyDescent="0.3">
      <c r="A149">
        <v>1</v>
      </c>
      <c r="B149">
        <f t="shared" si="6"/>
        <v>-1</v>
      </c>
      <c r="D149">
        <v>1</v>
      </c>
      <c r="E149">
        <f t="shared" si="7"/>
        <v>-1</v>
      </c>
      <c r="F149">
        <v>177.142857142857</v>
      </c>
      <c r="G149">
        <f t="shared" si="8"/>
        <v>-177.142857142857</v>
      </c>
    </row>
    <row r="150" spans="1:7" x14ac:dyDescent="0.3">
      <c r="A150">
        <v>1</v>
      </c>
      <c r="B150">
        <f t="shared" si="6"/>
        <v>-1</v>
      </c>
      <c r="D150">
        <v>1</v>
      </c>
      <c r="E150">
        <f t="shared" si="7"/>
        <v>-1</v>
      </c>
      <c r="F150">
        <v>370.47619047619003</v>
      </c>
      <c r="G150">
        <f t="shared" si="8"/>
        <v>-370.47619047619003</v>
      </c>
    </row>
    <row r="151" spans="1:7" x14ac:dyDescent="0.3">
      <c r="A151">
        <v>1</v>
      </c>
      <c r="B151">
        <f t="shared" si="6"/>
        <v>-1</v>
      </c>
      <c r="D151">
        <v>1</v>
      </c>
      <c r="E151">
        <f t="shared" si="7"/>
        <v>-1</v>
      </c>
      <c r="F151">
        <v>359.04761904761898</v>
      </c>
      <c r="G151">
        <f t="shared" si="8"/>
        <v>-359.04761904761898</v>
      </c>
    </row>
    <row r="152" spans="1:7" x14ac:dyDescent="0.3">
      <c r="A152">
        <v>1</v>
      </c>
      <c r="B152">
        <f t="shared" si="6"/>
        <v>-1</v>
      </c>
      <c r="D152">
        <v>1</v>
      </c>
      <c r="E152">
        <f t="shared" si="7"/>
        <v>-1</v>
      </c>
      <c r="F152">
        <v>216.19047619047601</v>
      </c>
      <c r="G152">
        <f t="shared" si="8"/>
        <v>-216.19047619047601</v>
      </c>
    </row>
    <row r="153" spans="1:7" x14ac:dyDescent="0.3">
      <c r="A153">
        <v>1</v>
      </c>
      <c r="B153">
        <f t="shared" si="6"/>
        <v>-1</v>
      </c>
      <c r="D153">
        <v>1</v>
      </c>
      <c r="E153">
        <f t="shared" si="7"/>
        <v>-1</v>
      </c>
      <c r="F153">
        <v>190.47619047619</v>
      </c>
      <c r="G153">
        <f t="shared" si="8"/>
        <v>-190.47619047619</v>
      </c>
    </row>
    <row r="154" spans="1:7" x14ac:dyDescent="0.3">
      <c r="A154">
        <v>1</v>
      </c>
      <c r="B154">
        <f t="shared" si="6"/>
        <v>-1</v>
      </c>
      <c r="D154">
        <v>1</v>
      </c>
      <c r="E154">
        <f t="shared" si="7"/>
        <v>-1</v>
      </c>
      <c r="F154">
        <v>368.57142857142799</v>
      </c>
      <c r="G154">
        <f t="shared" si="8"/>
        <v>-368.57142857142799</v>
      </c>
    </row>
    <row r="155" spans="1:7" x14ac:dyDescent="0.3">
      <c r="A155" t="s">
        <v>133</v>
      </c>
      <c r="B155">
        <f t="shared" si="6"/>
        <v>-1</v>
      </c>
    </row>
    <row r="156" spans="1:7" x14ac:dyDescent="0.3">
      <c r="A156" t="s">
        <v>133</v>
      </c>
      <c r="B156">
        <f t="shared" si="6"/>
        <v>-1</v>
      </c>
    </row>
    <row r="157" spans="1:7" x14ac:dyDescent="0.3">
      <c r="A157" t="s">
        <v>133</v>
      </c>
      <c r="B157">
        <f t="shared" si="6"/>
        <v>-1</v>
      </c>
    </row>
    <row r="158" spans="1:7" x14ac:dyDescent="0.3">
      <c r="A158" t="s">
        <v>133</v>
      </c>
      <c r="B158">
        <f t="shared" si="6"/>
        <v>-1</v>
      </c>
    </row>
    <row r="159" spans="1:7" x14ac:dyDescent="0.3">
      <c r="A159" t="s">
        <v>133</v>
      </c>
      <c r="B159">
        <f t="shared" si="6"/>
        <v>-1</v>
      </c>
    </row>
    <row r="160" spans="1:7" x14ac:dyDescent="0.3">
      <c r="A160" t="s">
        <v>133</v>
      </c>
      <c r="B160">
        <f t="shared" si="6"/>
        <v>-1</v>
      </c>
    </row>
    <row r="161" spans="1:2" x14ac:dyDescent="0.3">
      <c r="A161" t="s">
        <v>133</v>
      </c>
      <c r="B161">
        <f t="shared" si="6"/>
        <v>-1</v>
      </c>
    </row>
    <row r="162" spans="1:2" x14ac:dyDescent="0.3">
      <c r="A162" t="s">
        <v>133</v>
      </c>
      <c r="B162">
        <f t="shared" si="6"/>
        <v>-1</v>
      </c>
    </row>
    <row r="163" spans="1:2" x14ac:dyDescent="0.3">
      <c r="A163" t="s">
        <v>133</v>
      </c>
      <c r="B163">
        <f t="shared" si="6"/>
        <v>-1</v>
      </c>
    </row>
    <row r="164" spans="1:2" x14ac:dyDescent="0.3">
      <c r="A164" t="s">
        <v>133</v>
      </c>
      <c r="B164">
        <f t="shared" si="6"/>
        <v>-1</v>
      </c>
    </row>
    <row r="165" spans="1:2" x14ac:dyDescent="0.3">
      <c r="A165" t="s">
        <v>133</v>
      </c>
      <c r="B165">
        <f t="shared" si="6"/>
        <v>-1</v>
      </c>
    </row>
    <row r="166" spans="1:2" x14ac:dyDescent="0.3">
      <c r="A166" t="s">
        <v>133</v>
      </c>
      <c r="B166">
        <f t="shared" si="6"/>
        <v>-1</v>
      </c>
    </row>
    <row r="167" spans="1:2" x14ac:dyDescent="0.3">
      <c r="A167" t="s">
        <v>133</v>
      </c>
      <c r="B167">
        <f t="shared" si="6"/>
        <v>-1</v>
      </c>
    </row>
    <row r="168" spans="1:2" x14ac:dyDescent="0.3">
      <c r="A168" t="s">
        <v>133</v>
      </c>
      <c r="B168">
        <f t="shared" si="6"/>
        <v>-1</v>
      </c>
    </row>
    <row r="169" spans="1:2" x14ac:dyDescent="0.3">
      <c r="A169" t="s">
        <v>133</v>
      </c>
      <c r="B169">
        <f t="shared" si="6"/>
        <v>-1</v>
      </c>
    </row>
    <row r="170" spans="1:2" x14ac:dyDescent="0.3">
      <c r="A170" t="s">
        <v>133</v>
      </c>
      <c r="B170">
        <f t="shared" si="6"/>
        <v>-1</v>
      </c>
    </row>
    <row r="171" spans="1:2" x14ac:dyDescent="0.3">
      <c r="A171" t="s">
        <v>133</v>
      </c>
      <c r="B171">
        <f t="shared" si="6"/>
        <v>-1</v>
      </c>
    </row>
    <row r="172" spans="1:2" x14ac:dyDescent="0.3">
      <c r="A172" t="s">
        <v>133</v>
      </c>
      <c r="B172">
        <f t="shared" si="6"/>
        <v>-1</v>
      </c>
    </row>
    <row r="173" spans="1:2" x14ac:dyDescent="0.3">
      <c r="A173" t="s">
        <v>133</v>
      </c>
      <c r="B173">
        <f t="shared" si="6"/>
        <v>-1</v>
      </c>
    </row>
    <row r="174" spans="1:2" x14ac:dyDescent="0.3">
      <c r="A174" t="s">
        <v>133</v>
      </c>
      <c r="B174">
        <f t="shared" si="6"/>
        <v>-1</v>
      </c>
    </row>
    <row r="175" spans="1:2" x14ac:dyDescent="0.3">
      <c r="A175" t="s">
        <v>133</v>
      </c>
      <c r="B175">
        <f t="shared" si="6"/>
        <v>-1</v>
      </c>
    </row>
    <row r="176" spans="1:2" x14ac:dyDescent="0.3">
      <c r="A176" t="s">
        <v>133</v>
      </c>
      <c r="B176">
        <f t="shared" si="6"/>
        <v>-1</v>
      </c>
    </row>
    <row r="177" spans="1:2" x14ac:dyDescent="0.3">
      <c r="A177" t="s">
        <v>133</v>
      </c>
      <c r="B177">
        <f t="shared" si="6"/>
        <v>-1</v>
      </c>
    </row>
    <row r="178" spans="1:2" x14ac:dyDescent="0.3">
      <c r="A178" t="s">
        <v>133</v>
      </c>
      <c r="B178">
        <f t="shared" si="6"/>
        <v>-1</v>
      </c>
    </row>
    <row r="179" spans="1:2" x14ac:dyDescent="0.3">
      <c r="A179" t="s">
        <v>133</v>
      </c>
      <c r="B179">
        <f t="shared" si="6"/>
        <v>-1</v>
      </c>
    </row>
    <row r="180" spans="1:2" x14ac:dyDescent="0.3">
      <c r="A180" t="s">
        <v>133</v>
      </c>
      <c r="B180">
        <f t="shared" si="6"/>
        <v>-1</v>
      </c>
    </row>
    <row r="181" spans="1:2" x14ac:dyDescent="0.3">
      <c r="A181" t="s">
        <v>133</v>
      </c>
      <c r="B181">
        <f t="shared" si="6"/>
        <v>-1</v>
      </c>
    </row>
    <row r="182" spans="1:2" x14ac:dyDescent="0.3">
      <c r="A182" t="s">
        <v>133</v>
      </c>
      <c r="B182">
        <f t="shared" si="6"/>
        <v>-1</v>
      </c>
    </row>
    <row r="183" spans="1:2" x14ac:dyDescent="0.3">
      <c r="A183" t="s">
        <v>133</v>
      </c>
      <c r="B183">
        <f t="shared" si="6"/>
        <v>-1</v>
      </c>
    </row>
    <row r="184" spans="1:2" x14ac:dyDescent="0.3">
      <c r="A184" t="s">
        <v>133</v>
      </c>
      <c r="B184">
        <f t="shared" si="6"/>
        <v>-1</v>
      </c>
    </row>
    <row r="185" spans="1:2" x14ac:dyDescent="0.3">
      <c r="A185" t="s">
        <v>133</v>
      </c>
      <c r="B185">
        <f t="shared" si="6"/>
        <v>-1</v>
      </c>
    </row>
    <row r="186" spans="1:2" x14ac:dyDescent="0.3">
      <c r="A186" t="s">
        <v>133</v>
      </c>
      <c r="B186">
        <f t="shared" si="6"/>
        <v>-1</v>
      </c>
    </row>
    <row r="187" spans="1:2" x14ac:dyDescent="0.3">
      <c r="A187" t="s">
        <v>133</v>
      </c>
      <c r="B187">
        <f t="shared" si="6"/>
        <v>-1</v>
      </c>
    </row>
    <row r="188" spans="1:2" x14ac:dyDescent="0.3">
      <c r="A188" t="s">
        <v>133</v>
      </c>
      <c r="B188">
        <f t="shared" si="6"/>
        <v>-1</v>
      </c>
    </row>
    <row r="189" spans="1:2" x14ac:dyDescent="0.3">
      <c r="A189" t="s">
        <v>133</v>
      </c>
      <c r="B189">
        <f t="shared" si="6"/>
        <v>-1</v>
      </c>
    </row>
    <row r="190" spans="1:2" x14ac:dyDescent="0.3">
      <c r="A190" t="s">
        <v>133</v>
      </c>
      <c r="B190">
        <f t="shared" si="6"/>
        <v>-1</v>
      </c>
    </row>
    <row r="191" spans="1:2" x14ac:dyDescent="0.3">
      <c r="A191" t="s">
        <v>133</v>
      </c>
      <c r="B191">
        <f t="shared" si="6"/>
        <v>-1</v>
      </c>
    </row>
    <row r="192" spans="1:2" x14ac:dyDescent="0.3">
      <c r="A192" t="s">
        <v>133</v>
      </c>
      <c r="B192">
        <f t="shared" si="6"/>
        <v>-1</v>
      </c>
    </row>
    <row r="193" spans="1:2" x14ac:dyDescent="0.3">
      <c r="A193" t="s">
        <v>133</v>
      </c>
      <c r="B193">
        <f t="shared" si="6"/>
        <v>-1</v>
      </c>
    </row>
    <row r="194" spans="1:2" x14ac:dyDescent="0.3">
      <c r="A194" t="s">
        <v>135</v>
      </c>
      <c r="B194">
        <f t="shared" ref="B194:B257" si="9">-A194</f>
        <v>-3</v>
      </c>
    </row>
    <row r="195" spans="1:2" x14ac:dyDescent="0.3">
      <c r="A195" t="s">
        <v>133</v>
      </c>
      <c r="B195">
        <f t="shared" si="9"/>
        <v>-1</v>
      </c>
    </row>
    <row r="196" spans="1:2" x14ac:dyDescent="0.3">
      <c r="A196" t="s">
        <v>133</v>
      </c>
      <c r="B196">
        <f t="shared" si="9"/>
        <v>-1</v>
      </c>
    </row>
    <row r="197" spans="1:2" x14ac:dyDescent="0.3">
      <c r="A197" t="s">
        <v>133</v>
      </c>
      <c r="B197">
        <f t="shared" si="9"/>
        <v>-1</v>
      </c>
    </row>
    <row r="198" spans="1:2" x14ac:dyDescent="0.3">
      <c r="A198" t="s">
        <v>133</v>
      </c>
      <c r="B198">
        <f t="shared" si="9"/>
        <v>-1</v>
      </c>
    </row>
    <row r="199" spans="1:2" x14ac:dyDescent="0.3">
      <c r="A199" t="s">
        <v>133</v>
      </c>
      <c r="B199">
        <f t="shared" si="9"/>
        <v>-1</v>
      </c>
    </row>
    <row r="200" spans="1:2" x14ac:dyDescent="0.3">
      <c r="A200" t="s">
        <v>133</v>
      </c>
      <c r="B200">
        <f t="shared" si="9"/>
        <v>-1</v>
      </c>
    </row>
    <row r="201" spans="1:2" x14ac:dyDescent="0.3">
      <c r="A201" t="s">
        <v>133</v>
      </c>
      <c r="B201">
        <f t="shared" si="9"/>
        <v>-1</v>
      </c>
    </row>
    <row r="202" spans="1:2" x14ac:dyDescent="0.3">
      <c r="A202" t="s">
        <v>133</v>
      </c>
      <c r="B202">
        <f t="shared" si="9"/>
        <v>-1</v>
      </c>
    </row>
    <row r="203" spans="1:2" x14ac:dyDescent="0.3">
      <c r="A203" t="s">
        <v>133</v>
      </c>
      <c r="B203">
        <f t="shared" si="9"/>
        <v>-1</v>
      </c>
    </row>
    <row r="204" spans="1:2" x14ac:dyDescent="0.3">
      <c r="A204" t="s">
        <v>133</v>
      </c>
      <c r="B204">
        <f t="shared" si="9"/>
        <v>-1</v>
      </c>
    </row>
    <row r="205" spans="1:2" x14ac:dyDescent="0.3">
      <c r="A205" t="s">
        <v>133</v>
      </c>
      <c r="B205">
        <f t="shared" si="9"/>
        <v>-1</v>
      </c>
    </row>
    <row r="206" spans="1:2" x14ac:dyDescent="0.3">
      <c r="A206" t="s">
        <v>133</v>
      </c>
      <c r="B206">
        <f t="shared" si="9"/>
        <v>-1</v>
      </c>
    </row>
    <row r="207" spans="1:2" x14ac:dyDescent="0.3">
      <c r="A207" t="s">
        <v>133</v>
      </c>
      <c r="B207">
        <f t="shared" si="9"/>
        <v>-1</v>
      </c>
    </row>
    <row r="208" spans="1:2" x14ac:dyDescent="0.3">
      <c r="A208" t="s">
        <v>133</v>
      </c>
      <c r="B208">
        <f t="shared" si="9"/>
        <v>-1</v>
      </c>
    </row>
    <row r="209" spans="1:2" x14ac:dyDescent="0.3">
      <c r="A209" t="s">
        <v>133</v>
      </c>
      <c r="B209">
        <f t="shared" si="9"/>
        <v>-1</v>
      </c>
    </row>
    <row r="210" spans="1:2" x14ac:dyDescent="0.3">
      <c r="A210" t="s">
        <v>133</v>
      </c>
      <c r="B210">
        <f t="shared" si="9"/>
        <v>-1</v>
      </c>
    </row>
    <row r="211" spans="1:2" x14ac:dyDescent="0.3">
      <c r="A211" t="s">
        <v>133</v>
      </c>
      <c r="B211">
        <f t="shared" si="9"/>
        <v>-1</v>
      </c>
    </row>
    <row r="212" spans="1:2" x14ac:dyDescent="0.3">
      <c r="A212" t="s">
        <v>133</v>
      </c>
      <c r="B212">
        <f t="shared" si="9"/>
        <v>-1</v>
      </c>
    </row>
    <row r="213" spans="1:2" x14ac:dyDescent="0.3">
      <c r="A213" t="s">
        <v>133</v>
      </c>
      <c r="B213">
        <f t="shared" si="9"/>
        <v>-1</v>
      </c>
    </row>
    <row r="214" spans="1:2" x14ac:dyDescent="0.3">
      <c r="A214" t="s">
        <v>133</v>
      </c>
      <c r="B214">
        <f t="shared" si="9"/>
        <v>-1</v>
      </c>
    </row>
    <row r="215" spans="1:2" x14ac:dyDescent="0.3">
      <c r="A215" t="s">
        <v>133</v>
      </c>
      <c r="B215">
        <f t="shared" si="9"/>
        <v>-1</v>
      </c>
    </row>
    <row r="216" spans="1:2" x14ac:dyDescent="0.3">
      <c r="A216" t="s">
        <v>133</v>
      </c>
      <c r="B216">
        <f t="shared" si="9"/>
        <v>-1</v>
      </c>
    </row>
    <row r="217" spans="1:2" x14ac:dyDescent="0.3">
      <c r="A217" t="s">
        <v>133</v>
      </c>
      <c r="B217">
        <f t="shared" si="9"/>
        <v>-1</v>
      </c>
    </row>
    <row r="218" spans="1:2" x14ac:dyDescent="0.3">
      <c r="A218" t="s">
        <v>133</v>
      </c>
      <c r="B218">
        <f t="shared" si="9"/>
        <v>-1</v>
      </c>
    </row>
    <row r="219" spans="1:2" x14ac:dyDescent="0.3">
      <c r="A219" t="s">
        <v>133</v>
      </c>
      <c r="B219">
        <f t="shared" si="9"/>
        <v>-1</v>
      </c>
    </row>
    <row r="220" spans="1:2" x14ac:dyDescent="0.3">
      <c r="A220" t="s">
        <v>133</v>
      </c>
      <c r="B220">
        <f t="shared" si="9"/>
        <v>-1</v>
      </c>
    </row>
    <row r="221" spans="1:2" x14ac:dyDescent="0.3">
      <c r="A221" t="s">
        <v>133</v>
      </c>
      <c r="B221">
        <f t="shared" si="9"/>
        <v>-1</v>
      </c>
    </row>
    <row r="222" spans="1:2" x14ac:dyDescent="0.3">
      <c r="A222" t="s">
        <v>133</v>
      </c>
      <c r="B222">
        <f t="shared" si="9"/>
        <v>-1</v>
      </c>
    </row>
    <row r="223" spans="1:2" x14ac:dyDescent="0.3">
      <c r="A223" t="s">
        <v>133</v>
      </c>
      <c r="B223">
        <f t="shared" si="9"/>
        <v>-1</v>
      </c>
    </row>
    <row r="224" spans="1:2" x14ac:dyDescent="0.3">
      <c r="A224" t="s">
        <v>133</v>
      </c>
      <c r="B224">
        <f t="shared" si="9"/>
        <v>-1</v>
      </c>
    </row>
    <row r="225" spans="1:2" x14ac:dyDescent="0.3">
      <c r="A225" t="s">
        <v>133</v>
      </c>
      <c r="B225">
        <f t="shared" si="9"/>
        <v>-1</v>
      </c>
    </row>
    <row r="226" spans="1:2" x14ac:dyDescent="0.3">
      <c r="A226" t="s">
        <v>133</v>
      </c>
      <c r="B226">
        <f t="shared" si="9"/>
        <v>-1</v>
      </c>
    </row>
    <row r="227" spans="1:2" x14ac:dyDescent="0.3">
      <c r="A227" t="s">
        <v>133</v>
      </c>
      <c r="B227">
        <f t="shared" si="9"/>
        <v>-1</v>
      </c>
    </row>
    <row r="228" spans="1:2" x14ac:dyDescent="0.3">
      <c r="A228" t="s">
        <v>133</v>
      </c>
      <c r="B228">
        <f t="shared" si="9"/>
        <v>-1</v>
      </c>
    </row>
    <row r="229" spans="1:2" x14ac:dyDescent="0.3">
      <c r="A229" t="s">
        <v>133</v>
      </c>
      <c r="B229">
        <f t="shared" si="9"/>
        <v>-1</v>
      </c>
    </row>
    <row r="230" spans="1:2" x14ac:dyDescent="0.3">
      <c r="A230" t="s">
        <v>133</v>
      </c>
      <c r="B230">
        <f t="shared" si="9"/>
        <v>-1</v>
      </c>
    </row>
    <row r="231" spans="1:2" x14ac:dyDescent="0.3">
      <c r="A231" t="s">
        <v>133</v>
      </c>
      <c r="B231">
        <f t="shared" si="9"/>
        <v>-1</v>
      </c>
    </row>
    <row r="232" spans="1:2" x14ac:dyDescent="0.3">
      <c r="A232" t="s">
        <v>133</v>
      </c>
      <c r="B232">
        <f t="shared" si="9"/>
        <v>-1</v>
      </c>
    </row>
    <row r="233" spans="1:2" x14ac:dyDescent="0.3">
      <c r="A233" t="s">
        <v>133</v>
      </c>
      <c r="B233">
        <f t="shared" si="9"/>
        <v>-1</v>
      </c>
    </row>
    <row r="234" spans="1:2" x14ac:dyDescent="0.3">
      <c r="A234" t="s">
        <v>133</v>
      </c>
      <c r="B234">
        <f t="shared" si="9"/>
        <v>-1</v>
      </c>
    </row>
    <row r="235" spans="1:2" x14ac:dyDescent="0.3">
      <c r="A235" t="s">
        <v>133</v>
      </c>
      <c r="B235">
        <f t="shared" si="9"/>
        <v>-1</v>
      </c>
    </row>
    <row r="236" spans="1:2" x14ac:dyDescent="0.3">
      <c r="A236" t="s">
        <v>133</v>
      </c>
      <c r="B236">
        <f t="shared" si="9"/>
        <v>-1</v>
      </c>
    </row>
    <row r="237" spans="1:2" x14ac:dyDescent="0.3">
      <c r="A237" t="s">
        <v>133</v>
      </c>
      <c r="B237">
        <f t="shared" si="9"/>
        <v>-1</v>
      </c>
    </row>
    <row r="238" spans="1:2" x14ac:dyDescent="0.3">
      <c r="A238" t="s">
        <v>133</v>
      </c>
      <c r="B238">
        <f t="shared" si="9"/>
        <v>-1</v>
      </c>
    </row>
    <row r="239" spans="1:2" x14ac:dyDescent="0.3">
      <c r="A239" t="s">
        <v>133</v>
      </c>
      <c r="B239">
        <f t="shared" si="9"/>
        <v>-1</v>
      </c>
    </row>
    <row r="240" spans="1:2" x14ac:dyDescent="0.3">
      <c r="A240" t="s">
        <v>133</v>
      </c>
      <c r="B240">
        <f t="shared" si="9"/>
        <v>-1</v>
      </c>
    </row>
    <row r="241" spans="1:2" x14ac:dyDescent="0.3">
      <c r="A241" t="s">
        <v>133</v>
      </c>
      <c r="B241">
        <f t="shared" si="9"/>
        <v>-1</v>
      </c>
    </row>
    <row r="242" spans="1:2" x14ac:dyDescent="0.3">
      <c r="A242" t="s">
        <v>133</v>
      </c>
      <c r="B242">
        <f t="shared" si="9"/>
        <v>-1</v>
      </c>
    </row>
    <row r="243" spans="1:2" x14ac:dyDescent="0.3">
      <c r="A243" t="s">
        <v>133</v>
      </c>
      <c r="B243">
        <f t="shared" si="9"/>
        <v>-1</v>
      </c>
    </row>
    <row r="244" spans="1:2" x14ac:dyDescent="0.3">
      <c r="A244" t="s">
        <v>133</v>
      </c>
      <c r="B244">
        <f t="shared" si="9"/>
        <v>-1</v>
      </c>
    </row>
    <row r="245" spans="1:2" x14ac:dyDescent="0.3">
      <c r="A245" t="s">
        <v>133</v>
      </c>
      <c r="B245">
        <f t="shared" si="9"/>
        <v>-1</v>
      </c>
    </row>
    <row r="246" spans="1:2" x14ac:dyDescent="0.3">
      <c r="A246" t="s">
        <v>133</v>
      </c>
      <c r="B246">
        <f t="shared" si="9"/>
        <v>-1</v>
      </c>
    </row>
    <row r="247" spans="1:2" x14ac:dyDescent="0.3">
      <c r="A247" t="s">
        <v>133</v>
      </c>
      <c r="B247">
        <f t="shared" si="9"/>
        <v>-1</v>
      </c>
    </row>
    <row r="248" spans="1:2" x14ac:dyDescent="0.3">
      <c r="A248" t="s">
        <v>133</v>
      </c>
      <c r="B248">
        <f t="shared" si="9"/>
        <v>-1</v>
      </c>
    </row>
    <row r="249" spans="1:2" x14ac:dyDescent="0.3">
      <c r="A249" t="s">
        <v>133</v>
      </c>
      <c r="B249">
        <f t="shared" si="9"/>
        <v>-1</v>
      </c>
    </row>
    <row r="250" spans="1:2" x14ac:dyDescent="0.3">
      <c r="A250" t="s">
        <v>133</v>
      </c>
      <c r="B250">
        <f t="shared" si="9"/>
        <v>-1</v>
      </c>
    </row>
    <row r="251" spans="1:2" x14ac:dyDescent="0.3">
      <c r="A251" t="s">
        <v>133</v>
      </c>
      <c r="B251">
        <f t="shared" si="9"/>
        <v>-1</v>
      </c>
    </row>
    <row r="252" spans="1:2" x14ac:dyDescent="0.3">
      <c r="A252" t="s">
        <v>133</v>
      </c>
      <c r="B252">
        <f t="shared" si="9"/>
        <v>-1</v>
      </c>
    </row>
    <row r="253" spans="1:2" x14ac:dyDescent="0.3">
      <c r="A253" t="s">
        <v>133</v>
      </c>
      <c r="B253">
        <f t="shared" si="9"/>
        <v>-1</v>
      </c>
    </row>
    <row r="254" spans="1:2" x14ac:dyDescent="0.3">
      <c r="A254" t="s">
        <v>133</v>
      </c>
      <c r="B254">
        <f t="shared" si="9"/>
        <v>-1</v>
      </c>
    </row>
    <row r="255" spans="1:2" x14ac:dyDescent="0.3">
      <c r="A255" t="s">
        <v>133</v>
      </c>
      <c r="B255">
        <f t="shared" si="9"/>
        <v>-1</v>
      </c>
    </row>
    <row r="256" spans="1:2" x14ac:dyDescent="0.3">
      <c r="A256" t="s">
        <v>133</v>
      </c>
      <c r="B256">
        <f t="shared" si="9"/>
        <v>-1</v>
      </c>
    </row>
    <row r="257" spans="1:2" x14ac:dyDescent="0.3">
      <c r="A257" t="s">
        <v>133</v>
      </c>
      <c r="B257">
        <f t="shared" si="9"/>
        <v>-1</v>
      </c>
    </row>
    <row r="258" spans="1:2" x14ac:dyDescent="0.3">
      <c r="A258" t="s">
        <v>133</v>
      </c>
      <c r="B258">
        <f t="shared" ref="B258:B321" si="10">-A258</f>
        <v>-1</v>
      </c>
    </row>
    <row r="259" spans="1:2" x14ac:dyDescent="0.3">
      <c r="A259" t="s">
        <v>133</v>
      </c>
      <c r="B259">
        <f t="shared" si="10"/>
        <v>-1</v>
      </c>
    </row>
    <row r="260" spans="1:2" x14ac:dyDescent="0.3">
      <c r="A260" t="s">
        <v>133</v>
      </c>
      <c r="B260">
        <f t="shared" si="10"/>
        <v>-1</v>
      </c>
    </row>
    <row r="261" spans="1:2" x14ac:dyDescent="0.3">
      <c r="A261" t="s">
        <v>133</v>
      </c>
      <c r="B261">
        <f t="shared" si="10"/>
        <v>-1</v>
      </c>
    </row>
    <row r="262" spans="1:2" x14ac:dyDescent="0.3">
      <c r="A262" t="s">
        <v>133</v>
      </c>
      <c r="B262">
        <f t="shared" si="10"/>
        <v>-1</v>
      </c>
    </row>
    <row r="263" spans="1:2" x14ac:dyDescent="0.3">
      <c r="A263" t="s">
        <v>133</v>
      </c>
      <c r="B263">
        <f t="shared" si="10"/>
        <v>-1</v>
      </c>
    </row>
    <row r="264" spans="1:2" x14ac:dyDescent="0.3">
      <c r="A264" t="s">
        <v>133</v>
      </c>
      <c r="B264">
        <f t="shared" si="10"/>
        <v>-1</v>
      </c>
    </row>
    <row r="265" spans="1:2" x14ac:dyDescent="0.3">
      <c r="A265" t="s">
        <v>133</v>
      </c>
      <c r="B265">
        <f t="shared" si="10"/>
        <v>-1</v>
      </c>
    </row>
    <row r="266" spans="1:2" x14ac:dyDescent="0.3">
      <c r="A266" t="s">
        <v>133</v>
      </c>
      <c r="B266">
        <f t="shared" si="10"/>
        <v>-1</v>
      </c>
    </row>
    <row r="267" spans="1:2" x14ac:dyDescent="0.3">
      <c r="A267" t="s">
        <v>133</v>
      </c>
      <c r="B267">
        <f t="shared" si="10"/>
        <v>-1</v>
      </c>
    </row>
    <row r="268" spans="1:2" x14ac:dyDescent="0.3">
      <c r="A268" t="s">
        <v>133</v>
      </c>
      <c r="B268">
        <f t="shared" si="10"/>
        <v>-1</v>
      </c>
    </row>
    <row r="269" spans="1:2" x14ac:dyDescent="0.3">
      <c r="A269" t="s">
        <v>133</v>
      </c>
      <c r="B269">
        <f t="shared" si="10"/>
        <v>-1</v>
      </c>
    </row>
    <row r="270" spans="1:2" x14ac:dyDescent="0.3">
      <c r="A270" t="s">
        <v>133</v>
      </c>
      <c r="B270">
        <f t="shared" si="10"/>
        <v>-1</v>
      </c>
    </row>
    <row r="271" spans="1:2" x14ac:dyDescent="0.3">
      <c r="A271" t="s">
        <v>133</v>
      </c>
      <c r="B271">
        <f t="shared" si="10"/>
        <v>-1</v>
      </c>
    </row>
    <row r="272" spans="1:2" x14ac:dyDescent="0.3">
      <c r="A272" t="s">
        <v>133</v>
      </c>
      <c r="B272">
        <f t="shared" si="10"/>
        <v>-1</v>
      </c>
    </row>
    <row r="273" spans="1:2" x14ac:dyDescent="0.3">
      <c r="A273" t="s">
        <v>133</v>
      </c>
      <c r="B273">
        <f t="shared" si="10"/>
        <v>-1</v>
      </c>
    </row>
    <row r="274" spans="1:2" x14ac:dyDescent="0.3">
      <c r="A274" t="s">
        <v>133</v>
      </c>
      <c r="B274">
        <f t="shared" si="10"/>
        <v>-1</v>
      </c>
    </row>
    <row r="275" spans="1:2" x14ac:dyDescent="0.3">
      <c r="A275" t="s">
        <v>133</v>
      </c>
      <c r="B275">
        <f t="shared" si="10"/>
        <v>-1</v>
      </c>
    </row>
    <row r="276" spans="1:2" x14ac:dyDescent="0.3">
      <c r="A276" t="s">
        <v>133</v>
      </c>
      <c r="B276">
        <f t="shared" si="10"/>
        <v>-1</v>
      </c>
    </row>
    <row r="277" spans="1:2" x14ac:dyDescent="0.3">
      <c r="A277" t="s">
        <v>133</v>
      </c>
      <c r="B277">
        <f t="shared" si="10"/>
        <v>-1</v>
      </c>
    </row>
    <row r="278" spans="1:2" x14ac:dyDescent="0.3">
      <c r="A278" t="s">
        <v>133</v>
      </c>
      <c r="B278">
        <f t="shared" si="10"/>
        <v>-1</v>
      </c>
    </row>
    <row r="279" spans="1:2" x14ac:dyDescent="0.3">
      <c r="A279" t="s">
        <v>133</v>
      </c>
      <c r="B279">
        <f t="shared" si="10"/>
        <v>-1</v>
      </c>
    </row>
    <row r="280" spans="1:2" x14ac:dyDescent="0.3">
      <c r="A280" t="s">
        <v>134</v>
      </c>
      <c r="B280">
        <f t="shared" si="10"/>
        <v>-2</v>
      </c>
    </row>
    <row r="281" spans="1:2" x14ac:dyDescent="0.3">
      <c r="A281" t="s">
        <v>133</v>
      </c>
      <c r="B281">
        <f t="shared" si="10"/>
        <v>-1</v>
      </c>
    </row>
    <row r="282" spans="1:2" x14ac:dyDescent="0.3">
      <c r="A282" t="s">
        <v>133</v>
      </c>
      <c r="B282">
        <f t="shared" si="10"/>
        <v>-1</v>
      </c>
    </row>
    <row r="283" spans="1:2" x14ac:dyDescent="0.3">
      <c r="A283" t="s">
        <v>133</v>
      </c>
      <c r="B283">
        <f t="shared" si="10"/>
        <v>-1</v>
      </c>
    </row>
    <row r="284" spans="1:2" x14ac:dyDescent="0.3">
      <c r="A284" t="s">
        <v>133</v>
      </c>
      <c r="B284">
        <f t="shared" si="10"/>
        <v>-1</v>
      </c>
    </row>
    <row r="285" spans="1:2" x14ac:dyDescent="0.3">
      <c r="A285" t="s">
        <v>133</v>
      </c>
      <c r="B285">
        <f t="shared" si="10"/>
        <v>-1</v>
      </c>
    </row>
    <row r="286" spans="1:2" x14ac:dyDescent="0.3">
      <c r="A286" t="s">
        <v>133</v>
      </c>
      <c r="B286">
        <f t="shared" si="10"/>
        <v>-1</v>
      </c>
    </row>
    <row r="287" spans="1:2" x14ac:dyDescent="0.3">
      <c r="A287" t="s">
        <v>133</v>
      </c>
      <c r="B287">
        <f t="shared" si="10"/>
        <v>-1</v>
      </c>
    </row>
    <row r="288" spans="1:2" x14ac:dyDescent="0.3">
      <c r="A288" t="s">
        <v>133</v>
      </c>
      <c r="B288">
        <f t="shared" si="10"/>
        <v>-1</v>
      </c>
    </row>
    <row r="289" spans="1:2" x14ac:dyDescent="0.3">
      <c r="A289" t="s">
        <v>133</v>
      </c>
      <c r="B289">
        <f t="shared" si="10"/>
        <v>-1</v>
      </c>
    </row>
    <row r="290" spans="1:2" x14ac:dyDescent="0.3">
      <c r="A290" t="s">
        <v>133</v>
      </c>
      <c r="B290">
        <f t="shared" si="10"/>
        <v>-1</v>
      </c>
    </row>
    <row r="291" spans="1:2" x14ac:dyDescent="0.3">
      <c r="A291" t="s">
        <v>133</v>
      </c>
      <c r="B291">
        <f t="shared" si="10"/>
        <v>-1</v>
      </c>
    </row>
    <row r="292" spans="1:2" x14ac:dyDescent="0.3">
      <c r="A292" t="s">
        <v>133</v>
      </c>
      <c r="B292">
        <f t="shared" si="10"/>
        <v>-1</v>
      </c>
    </row>
    <row r="293" spans="1:2" x14ac:dyDescent="0.3">
      <c r="A293" t="s">
        <v>133</v>
      </c>
      <c r="B293">
        <f t="shared" si="10"/>
        <v>-1</v>
      </c>
    </row>
    <row r="294" spans="1:2" x14ac:dyDescent="0.3">
      <c r="A294" t="s">
        <v>133</v>
      </c>
      <c r="B294">
        <f t="shared" si="10"/>
        <v>-1</v>
      </c>
    </row>
    <row r="295" spans="1:2" x14ac:dyDescent="0.3">
      <c r="A295" t="s">
        <v>133</v>
      </c>
      <c r="B295">
        <f t="shared" si="10"/>
        <v>-1</v>
      </c>
    </row>
    <row r="296" spans="1:2" x14ac:dyDescent="0.3">
      <c r="A296" t="s">
        <v>133</v>
      </c>
      <c r="B296">
        <f t="shared" si="10"/>
        <v>-1</v>
      </c>
    </row>
    <row r="297" spans="1:2" x14ac:dyDescent="0.3">
      <c r="A297" t="s">
        <v>133</v>
      </c>
      <c r="B297">
        <f t="shared" si="10"/>
        <v>-1</v>
      </c>
    </row>
    <row r="298" spans="1:2" x14ac:dyDescent="0.3">
      <c r="A298" t="s">
        <v>133</v>
      </c>
      <c r="B298">
        <f t="shared" si="10"/>
        <v>-1</v>
      </c>
    </row>
    <row r="299" spans="1:2" x14ac:dyDescent="0.3">
      <c r="A299" t="s">
        <v>133</v>
      </c>
      <c r="B299">
        <f t="shared" si="10"/>
        <v>-1</v>
      </c>
    </row>
    <row r="300" spans="1:2" x14ac:dyDescent="0.3">
      <c r="A300" t="s">
        <v>133</v>
      </c>
      <c r="B300">
        <f t="shared" si="10"/>
        <v>-1</v>
      </c>
    </row>
    <row r="301" spans="1:2" x14ac:dyDescent="0.3">
      <c r="A301" t="s">
        <v>133</v>
      </c>
      <c r="B301">
        <f t="shared" si="10"/>
        <v>-1</v>
      </c>
    </row>
    <row r="302" spans="1:2" x14ac:dyDescent="0.3">
      <c r="A302" t="s">
        <v>133</v>
      </c>
      <c r="B302">
        <f t="shared" si="10"/>
        <v>-1</v>
      </c>
    </row>
    <row r="303" spans="1:2" x14ac:dyDescent="0.3">
      <c r="A303" t="s">
        <v>133</v>
      </c>
      <c r="B303">
        <f t="shared" si="10"/>
        <v>-1</v>
      </c>
    </row>
    <row r="304" spans="1:2" x14ac:dyDescent="0.3">
      <c r="A304" t="s">
        <v>133</v>
      </c>
      <c r="B304">
        <f t="shared" si="10"/>
        <v>-1</v>
      </c>
    </row>
    <row r="305" spans="1:2" x14ac:dyDescent="0.3">
      <c r="A305" t="s">
        <v>133</v>
      </c>
      <c r="B305">
        <f t="shared" si="10"/>
        <v>-1</v>
      </c>
    </row>
    <row r="306" spans="1:2" x14ac:dyDescent="0.3">
      <c r="A306" t="s">
        <v>133</v>
      </c>
      <c r="B306">
        <f t="shared" si="10"/>
        <v>-1</v>
      </c>
    </row>
    <row r="307" spans="1:2" x14ac:dyDescent="0.3">
      <c r="A307" t="s">
        <v>133</v>
      </c>
      <c r="B307">
        <f t="shared" si="10"/>
        <v>-1</v>
      </c>
    </row>
    <row r="308" spans="1:2" x14ac:dyDescent="0.3">
      <c r="A308" t="s">
        <v>133</v>
      </c>
      <c r="B308">
        <f t="shared" si="10"/>
        <v>-1</v>
      </c>
    </row>
    <row r="309" spans="1:2" x14ac:dyDescent="0.3">
      <c r="A309" t="s">
        <v>133</v>
      </c>
      <c r="B309">
        <f t="shared" si="10"/>
        <v>-1</v>
      </c>
    </row>
    <row r="310" spans="1:2" x14ac:dyDescent="0.3">
      <c r="A310" t="s">
        <v>133</v>
      </c>
      <c r="B310">
        <f t="shared" si="10"/>
        <v>-1</v>
      </c>
    </row>
    <row r="311" spans="1:2" x14ac:dyDescent="0.3">
      <c r="A311" t="s">
        <v>133</v>
      </c>
      <c r="B311">
        <f t="shared" si="10"/>
        <v>-1</v>
      </c>
    </row>
    <row r="312" spans="1:2" x14ac:dyDescent="0.3">
      <c r="A312" t="s">
        <v>133</v>
      </c>
      <c r="B312">
        <f t="shared" si="10"/>
        <v>-1</v>
      </c>
    </row>
    <row r="313" spans="1:2" x14ac:dyDescent="0.3">
      <c r="A313" t="s">
        <v>133</v>
      </c>
      <c r="B313">
        <f t="shared" si="10"/>
        <v>-1</v>
      </c>
    </row>
    <row r="314" spans="1:2" x14ac:dyDescent="0.3">
      <c r="A314" t="s">
        <v>133</v>
      </c>
      <c r="B314">
        <f t="shared" si="10"/>
        <v>-1</v>
      </c>
    </row>
    <row r="315" spans="1:2" x14ac:dyDescent="0.3">
      <c r="A315" t="s">
        <v>133</v>
      </c>
      <c r="B315">
        <f t="shared" si="10"/>
        <v>-1</v>
      </c>
    </row>
    <row r="316" spans="1:2" x14ac:dyDescent="0.3">
      <c r="A316" t="s">
        <v>133</v>
      </c>
      <c r="B316">
        <f t="shared" si="10"/>
        <v>-1</v>
      </c>
    </row>
    <row r="317" spans="1:2" x14ac:dyDescent="0.3">
      <c r="A317" t="s">
        <v>134</v>
      </c>
      <c r="B317">
        <f t="shared" si="10"/>
        <v>-2</v>
      </c>
    </row>
    <row r="318" spans="1:2" x14ac:dyDescent="0.3">
      <c r="A318" t="s">
        <v>133</v>
      </c>
      <c r="B318">
        <f t="shared" si="10"/>
        <v>-1</v>
      </c>
    </row>
    <row r="319" spans="1:2" x14ac:dyDescent="0.3">
      <c r="A319" t="s">
        <v>133</v>
      </c>
      <c r="B319">
        <f t="shared" si="10"/>
        <v>-1</v>
      </c>
    </row>
    <row r="320" spans="1:2" x14ac:dyDescent="0.3">
      <c r="A320" t="s">
        <v>133</v>
      </c>
      <c r="B320">
        <f t="shared" si="10"/>
        <v>-1</v>
      </c>
    </row>
    <row r="321" spans="1:2" x14ac:dyDescent="0.3">
      <c r="A321" t="s">
        <v>133</v>
      </c>
      <c r="B321">
        <f t="shared" si="10"/>
        <v>-1</v>
      </c>
    </row>
    <row r="322" spans="1:2" x14ac:dyDescent="0.3">
      <c r="A322" t="s">
        <v>133</v>
      </c>
      <c r="B322">
        <f t="shared" ref="B322:B385" si="11">-A322</f>
        <v>-1</v>
      </c>
    </row>
    <row r="323" spans="1:2" x14ac:dyDescent="0.3">
      <c r="A323" t="s">
        <v>133</v>
      </c>
      <c r="B323">
        <f t="shared" si="11"/>
        <v>-1</v>
      </c>
    </row>
    <row r="324" spans="1:2" x14ac:dyDescent="0.3">
      <c r="A324" t="s">
        <v>133</v>
      </c>
      <c r="B324">
        <f t="shared" si="11"/>
        <v>-1</v>
      </c>
    </row>
    <row r="325" spans="1:2" x14ac:dyDescent="0.3">
      <c r="A325" t="s">
        <v>133</v>
      </c>
      <c r="B325">
        <f t="shared" si="11"/>
        <v>-1</v>
      </c>
    </row>
    <row r="326" spans="1:2" x14ac:dyDescent="0.3">
      <c r="A326" t="s">
        <v>133</v>
      </c>
      <c r="B326">
        <f t="shared" si="11"/>
        <v>-1</v>
      </c>
    </row>
    <row r="327" spans="1:2" x14ac:dyDescent="0.3">
      <c r="A327" t="s">
        <v>133</v>
      </c>
      <c r="B327">
        <f t="shared" si="11"/>
        <v>-1</v>
      </c>
    </row>
    <row r="328" spans="1:2" x14ac:dyDescent="0.3">
      <c r="A328" t="s">
        <v>133</v>
      </c>
      <c r="B328">
        <f t="shared" si="11"/>
        <v>-1</v>
      </c>
    </row>
    <row r="329" spans="1:2" x14ac:dyDescent="0.3">
      <c r="A329" t="s">
        <v>133</v>
      </c>
      <c r="B329">
        <f t="shared" si="11"/>
        <v>-1</v>
      </c>
    </row>
    <row r="330" spans="1:2" x14ac:dyDescent="0.3">
      <c r="A330" t="s">
        <v>133</v>
      </c>
      <c r="B330">
        <f t="shared" si="11"/>
        <v>-1</v>
      </c>
    </row>
    <row r="331" spans="1:2" x14ac:dyDescent="0.3">
      <c r="A331" t="s">
        <v>133</v>
      </c>
      <c r="B331">
        <f t="shared" si="11"/>
        <v>-1</v>
      </c>
    </row>
    <row r="332" spans="1:2" x14ac:dyDescent="0.3">
      <c r="A332" t="s">
        <v>133</v>
      </c>
      <c r="B332">
        <f t="shared" si="11"/>
        <v>-1</v>
      </c>
    </row>
    <row r="333" spans="1:2" x14ac:dyDescent="0.3">
      <c r="A333" t="s">
        <v>133</v>
      </c>
      <c r="B333">
        <f t="shared" si="11"/>
        <v>-1</v>
      </c>
    </row>
    <row r="334" spans="1:2" x14ac:dyDescent="0.3">
      <c r="A334" t="s">
        <v>133</v>
      </c>
      <c r="B334">
        <f t="shared" si="11"/>
        <v>-1</v>
      </c>
    </row>
    <row r="335" spans="1:2" x14ac:dyDescent="0.3">
      <c r="A335" t="s">
        <v>133</v>
      </c>
      <c r="B335">
        <f t="shared" si="11"/>
        <v>-1</v>
      </c>
    </row>
    <row r="336" spans="1:2" x14ac:dyDescent="0.3">
      <c r="A336" t="s">
        <v>133</v>
      </c>
      <c r="B336">
        <f t="shared" si="11"/>
        <v>-1</v>
      </c>
    </row>
    <row r="337" spans="1:2" x14ac:dyDescent="0.3">
      <c r="A337" t="s">
        <v>133</v>
      </c>
      <c r="B337">
        <f t="shared" si="11"/>
        <v>-1</v>
      </c>
    </row>
    <row r="338" spans="1:2" x14ac:dyDescent="0.3">
      <c r="A338" t="s">
        <v>133</v>
      </c>
      <c r="B338">
        <f t="shared" si="11"/>
        <v>-1</v>
      </c>
    </row>
    <row r="339" spans="1:2" x14ac:dyDescent="0.3">
      <c r="A339" t="s">
        <v>133</v>
      </c>
      <c r="B339">
        <f t="shared" si="11"/>
        <v>-1</v>
      </c>
    </row>
    <row r="340" spans="1:2" x14ac:dyDescent="0.3">
      <c r="A340" t="s">
        <v>133</v>
      </c>
      <c r="B340">
        <f t="shared" si="11"/>
        <v>-1</v>
      </c>
    </row>
    <row r="341" spans="1:2" x14ac:dyDescent="0.3">
      <c r="A341" t="s">
        <v>133</v>
      </c>
      <c r="B341">
        <f t="shared" si="11"/>
        <v>-1</v>
      </c>
    </row>
    <row r="342" spans="1:2" x14ac:dyDescent="0.3">
      <c r="A342" t="s">
        <v>133</v>
      </c>
      <c r="B342">
        <f t="shared" si="11"/>
        <v>-1</v>
      </c>
    </row>
    <row r="343" spans="1:2" x14ac:dyDescent="0.3">
      <c r="A343" t="s">
        <v>133</v>
      </c>
      <c r="B343">
        <f t="shared" si="11"/>
        <v>-1</v>
      </c>
    </row>
    <row r="344" spans="1:2" x14ac:dyDescent="0.3">
      <c r="A344" t="s">
        <v>133</v>
      </c>
      <c r="B344">
        <f t="shared" si="11"/>
        <v>-1</v>
      </c>
    </row>
    <row r="345" spans="1:2" x14ac:dyDescent="0.3">
      <c r="A345" t="s">
        <v>133</v>
      </c>
      <c r="B345">
        <f t="shared" si="11"/>
        <v>-1</v>
      </c>
    </row>
    <row r="346" spans="1:2" x14ac:dyDescent="0.3">
      <c r="A346" t="s">
        <v>133</v>
      </c>
      <c r="B346">
        <f t="shared" si="11"/>
        <v>-1</v>
      </c>
    </row>
    <row r="347" spans="1:2" x14ac:dyDescent="0.3">
      <c r="A347" t="s">
        <v>133</v>
      </c>
      <c r="B347">
        <f t="shared" si="11"/>
        <v>-1</v>
      </c>
    </row>
    <row r="348" spans="1:2" x14ac:dyDescent="0.3">
      <c r="A348" t="s">
        <v>133</v>
      </c>
      <c r="B348">
        <f t="shared" si="11"/>
        <v>-1</v>
      </c>
    </row>
    <row r="349" spans="1:2" x14ac:dyDescent="0.3">
      <c r="A349" t="s">
        <v>133</v>
      </c>
      <c r="B349">
        <f t="shared" si="11"/>
        <v>-1</v>
      </c>
    </row>
    <row r="350" spans="1:2" x14ac:dyDescent="0.3">
      <c r="A350" t="s">
        <v>133</v>
      </c>
      <c r="B350">
        <f t="shared" si="11"/>
        <v>-1</v>
      </c>
    </row>
    <row r="351" spans="1:2" x14ac:dyDescent="0.3">
      <c r="A351" t="s">
        <v>133</v>
      </c>
      <c r="B351">
        <f t="shared" si="11"/>
        <v>-1</v>
      </c>
    </row>
    <row r="352" spans="1:2" x14ac:dyDescent="0.3">
      <c r="A352" t="s">
        <v>133</v>
      </c>
      <c r="B352">
        <f t="shared" si="11"/>
        <v>-1</v>
      </c>
    </row>
    <row r="353" spans="1:2" x14ac:dyDescent="0.3">
      <c r="A353" t="s">
        <v>133</v>
      </c>
      <c r="B353">
        <f t="shared" si="11"/>
        <v>-1</v>
      </c>
    </row>
    <row r="354" spans="1:2" x14ac:dyDescent="0.3">
      <c r="A354" t="s">
        <v>133</v>
      </c>
      <c r="B354">
        <f t="shared" si="11"/>
        <v>-1</v>
      </c>
    </row>
    <row r="355" spans="1:2" x14ac:dyDescent="0.3">
      <c r="A355" t="s">
        <v>133</v>
      </c>
      <c r="B355">
        <f t="shared" si="11"/>
        <v>-1</v>
      </c>
    </row>
    <row r="356" spans="1:2" x14ac:dyDescent="0.3">
      <c r="A356" t="s">
        <v>133</v>
      </c>
      <c r="B356">
        <f t="shared" si="11"/>
        <v>-1</v>
      </c>
    </row>
    <row r="357" spans="1:2" x14ac:dyDescent="0.3">
      <c r="A357" t="s">
        <v>133</v>
      </c>
      <c r="B357">
        <f t="shared" si="11"/>
        <v>-1</v>
      </c>
    </row>
    <row r="358" spans="1:2" x14ac:dyDescent="0.3">
      <c r="A358" t="s">
        <v>133</v>
      </c>
      <c r="B358">
        <f t="shared" si="11"/>
        <v>-1</v>
      </c>
    </row>
    <row r="359" spans="1:2" x14ac:dyDescent="0.3">
      <c r="A359" t="s">
        <v>133</v>
      </c>
      <c r="B359">
        <f t="shared" si="11"/>
        <v>-1</v>
      </c>
    </row>
    <row r="360" spans="1:2" x14ac:dyDescent="0.3">
      <c r="A360" t="s">
        <v>133</v>
      </c>
      <c r="B360">
        <f t="shared" si="11"/>
        <v>-1</v>
      </c>
    </row>
    <row r="361" spans="1:2" x14ac:dyDescent="0.3">
      <c r="A361" t="s">
        <v>133</v>
      </c>
      <c r="B361">
        <f t="shared" si="11"/>
        <v>-1</v>
      </c>
    </row>
    <row r="362" spans="1:2" x14ac:dyDescent="0.3">
      <c r="A362" t="s">
        <v>133</v>
      </c>
      <c r="B362">
        <f t="shared" si="11"/>
        <v>-1</v>
      </c>
    </row>
    <row r="363" spans="1:2" x14ac:dyDescent="0.3">
      <c r="A363" t="s">
        <v>133</v>
      </c>
      <c r="B363">
        <f t="shared" si="11"/>
        <v>-1</v>
      </c>
    </row>
    <row r="364" spans="1:2" x14ac:dyDescent="0.3">
      <c r="A364" t="s">
        <v>133</v>
      </c>
      <c r="B364">
        <f t="shared" si="11"/>
        <v>-1</v>
      </c>
    </row>
    <row r="365" spans="1:2" x14ac:dyDescent="0.3">
      <c r="A365" t="s">
        <v>133</v>
      </c>
      <c r="B365">
        <f t="shared" si="11"/>
        <v>-1</v>
      </c>
    </row>
    <row r="366" spans="1:2" x14ac:dyDescent="0.3">
      <c r="A366" t="s">
        <v>133</v>
      </c>
      <c r="B366">
        <f t="shared" si="11"/>
        <v>-1</v>
      </c>
    </row>
    <row r="367" spans="1:2" x14ac:dyDescent="0.3">
      <c r="A367" t="s">
        <v>133</v>
      </c>
      <c r="B367">
        <f t="shared" si="11"/>
        <v>-1</v>
      </c>
    </row>
    <row r="368" spans="1:2" x14ac:dyDescent="0.3">
      <c r="A368" t="s">
        <v>133</v>
      </c>
      <c r="B368">
        <f t="shared" si="11"/>
        <v>-1</v>
      </c>
    </row>
    <row r="369" spans="1:2" x14ac:dyDescent="0.3">
      <c r="A369" t="s">
        <v>133</v>
      </c>
      <c r="B369">
        <f t="shared" si="11"/>
        <v>-1</v>
      </c>
    </row>
    <row r="370" spans="1:2" x14ac:dyDescent="0.3">
      <c r="A370" t="s">
        <v>133</v>
      </c>
      <c r="B370">
        <f t="shared" si="11"/>
        <v>-1</v>
      </c>
    </row>
    <row r="371" spans="1:2" x14ac:dyDescent="0.3">
      <c r="A371" t="s">
        <v>133</v>
      </c>
      <c r="B371">
        <f t="shared" si="11"/>
        <v>-1</v>
      </c>
    </row>
    <row r="372" spans="1:2" x14ac:dyDescent="0.3">
      <c r="A372" t="s">
        <v>133</v>
      </c>
      <c r="B372">
        <f t="shared" si="11"/>
        <v>-1</v>
      </c>
    </row>
    <row r="373" spans="1:2" x14ac:dyDescent="0.3">
      <c r="A373" t="s">
        <v>133</v>
      </c>
      <c r="B373">
        <f t="shared" si="11"/>
        <v>-1</v>
      </c>
    </row>
    <row r="374" spans="1:2" x14ac:dyDescent="0.3">
      <c r="A374" t="s">
        <v>133</v>
      </c>
      <c r="B374">
        <f t="shared" si="11"/>
        <v>-1</v>
      </c>
    </row>
    <row r="375" spans="1:2" x14ac:dyDescent="0.3">
      <c r="A375" t="s">
        <v>133</v>
      </c>
      <c r="B375">
        <f t="shared" si="11"/>
        <v>-1</v>
      </c>
    </row>
    <row r="376" spans="1:2" x14ac:dyDescent="0.3">
      <c r="A376" t="s">
        <v>133</v>
      </c>
      <c r="B376">
        <f t="shared" si="11"/>
        <v>-1</v>
      </c>
    </row>
    <row r="377" spans="1:2" x14ac:dyDescent="0.3">
      <c r="A377" t="s">
        <v>133</v>
      </c>
      <c r="B377">
        <f t="shared" si="11"/>
        <v>-1</v>
      </c>
    </row>
    <row r="378" spans="1:2" x14ac:dyDescent="0.3">
      <c r="A378" t="s">
        <v>133</v>
      </c>
      <c r="B378">
        <f t="shared" si="11"/>
        <v>-1</v>
      </c>
    </row>
    <row r="379" spans="1:2" x14ac:dyDescent="0.3">
      <c r="A379" t="s">
        <v>133</v>
      </c>
      <c r="B379">
        <f t="shared" si="11"/>
        <v>-1</v>
      </c>
    </row>
    <row r="380" spans="1:2" x14ac:dyDescent="0.3">
      <c r="A380" t="s">
        <v>133</v>
      </c>
      <c r="B380">
        <f t="shared" si="11"/>
        <v>-1</v>
      </c>
    </row>
    <row r="381" spans="1:2" x14ac:dyDescent="0.3">
      <c r="A381" t="s">
        <v>133</v>
      </c>
      <c r="B381">
        <f t="shared" si="11"/>
        <v>-1</v>
      </c>
    </row>
    <row r="382" spans="1:2" x14ac:dyDescent="0.3">
      <c r="A382" t="s">
        <v>133</v>
      </c>
      <c r="B382">
        <f t="shared" si="11"/>
        <v>-1</v>
      </c>
    </row>
    <row r="383" spans="1:2" x14ac:dyDescent="0.3">
      <c r="A383" t="s">
        <v>133</v>
      </c>
      <c r="B383">
        <f t="shared" si="11"/>
        <v>-1</v>
      </c>
    </row>
    <row r="384" spans="1:2" x14ac:dyDescent="0.3">
      <c r="A384" t="s">
        <v>133</v>
      </c>
      <c r="B384">
        <f t="shared" si="11"/>
        <v>-1</v>
      </c>
    </row>
    <row r="385" spans="1:2" x14ac:dyDescent="0.3">
      <c r="A385" t="s">
        <v>133</v>
      </c>
      <c r="B385">
        <f t="shared" si="11"/>
        <v>-1</v>
      </c>
    </row>
    <row r="386" spans="1:2" x14ac:dyDescent="0.3">
      <c r="A386" t="s">
        <v>133</v>
      </c>
      <c r="B386">
        <f t="shared" ref="B386:B449" si="12">-A386</f>
        <v>-1</v>
      </c>
    </row>
    <row r="387" spans="1:2" x14ac:dyDescent="0.3">
      <c r="A387" t="s">
        <v>133</v>
      </c>
      <c r="B387">
        <f t="shared" si="12"/>
        <v>-1</v>
      </c>
    </row>
    <row r="388" spans="1:2" x14ac:dyDescent="0.3">
      <c r="A388" t="s">
        <v>133</v>
      </c>
      <c r="B388">
        <f t="shared" si="12"/>
        <v>-1</v>
      </c>
    </row>
    <row r="389" spans="1:2" x14ac:dyDescent="0.3">
      <c r="A389" t="s">
        <v>133</v>
      </c>
      <c r="B389">
        <f t="shared" si="12"/>
        <v>-1</v>
      </c>
    </row>
    <row r="390" spans="1:2" x14ac:dyDescent="0.3">
      <c r="A390" t="s">
        <v>133</v>
      </c>
      <c r="B390">
        <f t="shared" si="12"/>
        <v>-1</v>
      </c>
    </row>
    <row r="391" spans="1:2" x14ac:dyDescent="0.3">
      <c r="A391" t="s">
        <v>133</v>
      </c>
      <c r="B391">
        <f t="shared" si="12"/>
        <v>-1</v>
      </c>
    </row>
    <row r="392" spans="1:2" x14ac:dyDescent="0.3">
      <c r="A392" t="s">
        <v>133</v>
      </c>
      <c r="B392">
        <f t="shared" si="12"/>
        <v>-1</v>
      </c>
    </row>
    <row r="393" spans="1:2" x14ac:dyDescent="0.3">
      <c r="A393" t="s">
        <v>133</v>
      </c>
      <c r="B393">
        <f t="shared" si="12"/>
        <v>-1</v>
      </c>
    </row>
    <row r="394" spans="1:2" x14ac:dyDescent="0.3">
      <c r="A394" t="s">
        <v>133</v>
      </c>
      <c r="B394">
        <f t="shared" si="12"/>
        <v>-1</v>
      </c>
    </row>
    <row r="395" spans="1:2" x14ac:dyDescent="0.3">
      <c r="A395" t="s">
        <v>133</v>
      </c>
      <c r="B395">
        <f t="shared" si="12"/>
        <v>-1</v>
      </c>
    </row>
    <row r="396" spans="1:2" x14ac:dyDescent="0.3">
      <c r="A396" t="s">
        <v>133</v>
      </c>
      <c r="B396">
        <f t="shared" si="12"/>
        <v>-1</v>
      </c>
    </row>
    <row r="397" spans="1:2" x14ac:dyDescent="0.3">
      <c r="A397" t="s">
        <v>133</v>
      </c>
      <c r="B397">
        <f t="shared" si="12"/>
        <v>-1</v>
      </c>
    </row>
    <row r="398" spans="1:2" x14ac:dyDescent="0.3">
      <c r="A398" t="s">
        <v>133</v>
      </c>
      <c r="B398">
        <f t="shared" si="12"/>
        <v>-1</v>
      </c>
    </row>
    <row r="399" spans="1:2" x14ac:dyDescent="0.3">
      <c r="A399" t="s">
        <v>133</v>
      </c>
      <c r="B399">
        <f t="shared" si="12"/>
        <v>-1</v>
      </c>
    </row>
    <row r="400" spans="1:2" x14ac:dyDescent="0.3">
      <c r="A400" t="s">
        <v>133</v>
      </c>
      <c r="B400">
        <f t="shared" si="12"/>
        <v>-1</v>
      </c>
    </row>
    <row r="401" spans="1:2" x14ac:dyDescent="0.3">
      <c r="A401" t="s">
        <v>133</v>
      </c>
      <c r="B401">
        <f t="shared" si="12"/>
        <v>-1</v>
      </c>
    </row>
    <row r="402" spans="1:2" x14ac:dyDescent="0.3">
      <c r="A402" t="s">
        <v>133</v>
      </c>
      <c r="B402">
        <f t="shared" si="12"/>
        <v>-1</v>
      </c>
    </row>
    <row r="403" spans="1:2" x14ac:dyDescent="0.3">
      <c r="A403" t="s">
        <v>133</v>
      </c>
      <c r="B403">
        <f t="shared" si="12"/>
        <v>-1</v>
      </c>
    </row>
    <row r="404" spans="1:2" x14ac:dyDescent="0.3">
      <c r="A404" t="s">
        <v>133</v>
      </c>
      <c r="B404">
        <f t="shared" si="12"/>
        <v>-1</v>
      </c>
    </row>
    <row r="405" spans="1:2" x14ac:dyDescent="0.3">
      <c r="A405" t="s">
        <v>133</v>
      </c>
      <c r="B405">
        <f t="shared" si="12"/>
        <v>-1</v>
      </c>
    </row>
    <row r="406" spans="1:2" x14ac:dyDescent="0.3">
      <c r="A406" t="s">
        <v>133</v>
      </c>
      <c r="B406">
        <f t="shared" si="12"/>
        <v>-1</v>
      </c>
    </row>
    <row r="407" spans="1:2" x14ac:dyDescent="0.3">
      <c r="A407" t="s">
        <v>133</v>
      </c>
      <c r="B407">
        <f t="shared" si="12"/>
        <v>-1</v>
      </c>
    </row>
    <row r="408" spans="1:2" x14ac:dyDescent="0.3">
      <c r="A408" t="s">
        <v>133</v>
      </c>
      <c r="B408">
        <f t="shared" si="12"/>
        <v>-1</v>
      </c>
    </row>
    <row r="409" spans="1:2" x14ac:dyDescent="0.3">
      <c r="A409" t="s">
        <v>133</v>
      </c>
      <c r="B409">
        <f t="shared" si="12"/>
        <v>-1</v>
      </c>
    </row>
    <row r="410" spans="1:2" x14ac:dyDescent="0.3">
      <c r="A410" t="s">
        <v>133</v>
      </c>
      <c r="B410">
        <f t="shared" si="12"/>
        <v>-1</v>
      </c>
    </row>
    <row r="411" spans="1:2" x14ac:dyDescent="0.3">
      <c r="A411" t="s">
        <v>133</v>
      </c>
      <c r="B411">
        <f t="shared" si="12"/>
        <v>-1</v>
      </c>
    </row>
    <row r="412" spans="1:2" x14ac:dyDescent="0.3">
      <c r="A412" t="s">
        <v>133</v>
      </c>
      <c r="B412">
        <f t="shared" si="12"/>
        <v>-1</v>
      </c>
    </row>
    <row r="413" spans="1:2" x14ac:dyDescent="0.3">
      <c r="A413" t="s">
        <v>133</v>
      </c>
      <c r="B413">
        <f t="shared" si="12"/>
        <v>-1</v>
      </c>
    </row>
    <row r="414" spans="1:2" x14ac:dyDescent="0.3">
      <c r="A414" t="s">
        <v>133</v>
      </c>
      <c r="B414">
        <f t="shared" si="12"/>
        <v>-1</v>
      </c>
    </row>
    <row r="415" spans="1:2" x14ac:dyDescent="0.3">
      <c r="A415" t="s">
        <v>133</v>
      </c>
      <c r="B415">
        <f t="shared" si="12"/>
        <v>-1</v>
      </c>
    </row>
    <row r="416" spans="1:2" x14ac:dyDescent="0.3">
      <c r="A416" t="s">
        <v>133</v>
      </c>
      <c r="B416">
        <f t="shared" si="12"/>
        <v>-1</v>
      </c>
    </row>
    <row r="417" spans="1:2" x14ac:dyDescent="0.3">
      <c r="A417" t="s">
        <v>133</v>
      </c>
      <c r="B417">
        <f t="shared" si="12"/>
        <v>-1</v>
      </c>
    </row>
    <row r="418" spans="1:2" x14ac:dyDescent="0.3">
      <c r="A418" t="s">
        <v>133</v>
      </c>
      <c r="B418">
        <f t="shared" si="12"/>
        <v>-1</v>
      </c>
    </row>
    <row r="419" spans="1:2" x14ac:dyDescent="0.3">
      <c r="A419" t="s">
        <v>133</v>
      </c>
      <c r="B419">
        <f t="shared" si="12"/>
        <v>-1</v>
      </c>
    </row>
    <row r="420" spans="1:2" x14ac:dyDescent="0.3">
      <c r="A420" t="s">
        <v>133</v>
      </c>
      <c r="B420">
        <f t="shared" si="12"/>
        <v>-1</v>
      </c>
    </row>
    <row r="421" spans="1:2" x14ac:dyDescent="0.3">
      <c r="A421" t="s">
        <v>133</v>
      </c>
      <c r="B421">
        <f t="shared" si="12"/>
        <v>-1</v>
      </c>
    </row>
    <row r="422" spans="1:2" x14ac:dyDescent="0.3">
      <c r="A422" t="s">
        <v>133</v>
      </c>
      <c r="B422">
        <f t="shared" si="12"/>
        <v>-1</v>
      </c>
    </row>
    <row r="423" spans="1:2" x14ac:dyDescent="0.3">
      <c r="A423" t="s">
        <v>133</v>
      </c>
      <c r="B423">
        <f t="shared" si="12"/>
        <v>-1</v>
      </c>
    </row>
    <row r="424" spans="1:2" x14ac:dyDescent="0.3">
      <c r="A424" t="s">
        <v>133</v>
      </c>
      <c r="B424">
        <f t="shared" si="12"/>
        <v>-1</v>
      </c>
    </row>
    <row r="425" spans="1:2" x14ac:dyDescent="0.3">
      <c r="A425" t="s">
        <v>133</v>
      </c>
      <c r="B425">
        <f t="shared" si="12"/>
        <v>-1</v>
      </c>
    </row>
    <row r="426" spans="1:2" x14ac:dyDescent="0.3">
      <c r="A426" t="s">
        <v>133</v>
      </c>
      <c r="B426">
        <f t="shared" si="12"/>
        <v>-1</v>
      </c>
    </row>
    <row r="427" spans="1:2" x14ac:dyDescent="0.3">
      <c r="A427" t="s">
        <v>133</v>
      </c>
      <c r="B427">
        <f t="shared" si="12"/>
        <v>-1</v>
      </c>
    </row>
    <row r="428" spans="1:2" x14ac:dyDescent="0.3">
      <c r="A428" t="s">
        <v>133</v>
      </c>
      <c r="B428">
        <f t="shared" si="12"/>
        <v>-1</v>
      </c>
    </row>
    <row r="429" spans="1:2" x14ac:dyDescent="0.3">
      <c r="A429" t="s">
        <v>133</v>
      </c>
      <c r="B429">
        <f t="shared" si="12"/>
        <v>-1</v>
      </c>
    </row>
    <row r="430" spans="1:2" x14ac:dyDescent="0.3">
      <c r="A430" t="s">
        <v>133</v>
      </c>
      <c r="B430">
        <f t="shared" si="12"/>
        <v>-1</v>
      </c>
    </row>
    <row r="431" spans="1:2" x14ac:dyDescent="0.3">
      <c r="A431" t="s">
        <v>133</v>
      </c>
      <c r="B431">
        <f t="shared" si="12"/>
        <v>-1</v>
      </c>
    </row>
    <row r="432" spans="1:2" x14ac:dyDescent="0.3">
      <c r="A432" t="s">
        <v>133</v>
      </c>
      <c r="B432">
        <f t="shared" si="12"/>
        <v>-1</v>
      </c>
    </row>
    <row r="433" spans="1:2" x14ac:dyDescent="0.3">
      <c r="A433" t="s">
        <v>133</v>
      </c>
      <c r="B433">
        <f t="shared" si="12"/>
        <v>-1</v>
      </c>
    </row>
    <row r="434" spans="1:2" x14ac:dyDescent="0.3">
      <c r="A434" t="s">
        <v>133</v>
      </c>
      <c r="B434">
        <f t="shared" si="12"/>
        <v>-1</v>
      </c>
    </row>
    <row r="435" spans="1:2" x14ac:dyDescent="0.3">
      <c r="A435" t="s">
        <v>133</v>
      </c>
      <c r="B435">
        <f t="shared" si="12"/>
        <v>-1</v>
      </c>
    </row>
    <row r="436" spans="1:2" x14ac:dyDescent="0.3">
      <c r="A436" t="s">
        <v>133</v>
      </c>
      <c r="B436">
        <f t="shared" si="12"/>
        <v>-1</v>
      </c>
    </row>
    <row r="437" spans="1:2" x14ac:dyDescent="0.3">
      <c r="A437" t="s">
        <v>133</v>
      </c>
      <c r="B437">
        <f t="shared" si="12"/>
        <v>-1</v>
      </c>
    </row>
    <row r="438" spans="1:2" x14ac:dyDescent="0.3">
      <c r="A438" t="s">
        <v>133</v>
      </c>
      <c r="B438">
        <f t="shared" si="12"/>
        <v>-1</v>
      </c>
    </row>
    <row r="439" spans="1:2" x14ac:dyDescent="0.3">
      <c r="A439" t="s">
        <v>133</v>
      </c>
      <c r="B439">
        <f t="shared" si="12"/>
        <v>-1</v>
      </c>
    </row>
    <row r="440" spans="1:2" x14ac:dyDescent="0.3">
      <c r="A440" t="s">
        <v>133</v>
      </c>
      <c r="B440">
        <f t="shared" si="12"/>
        <v>-1</v>
      </c>
    </row>
    <row r="441" spans="1:2" x14ac:dyDescent="0.3">
      <c r="A441" t="s">
        <v>133</v>
      </c>
      <c r="B441">
        <f t="shared" si="12"/>
        <v>-1</v>
      </c>
    </row>
    <row r="442" spans="1:2" x14ac:dyDescent="0.3">
      <c r="A442" t="s">
        <v>133</v>
      </c>
      <c r="B442">
        <f t="shared" si="12"/>
        <v>-1</v>
      </c>
    </row>
    <row r="443" spans="1:2" x14ac:dyDescent="0.3">
      <c r="A443" t="s">
        <v>133</v>
      </c>
      <c r="B443">
        <f t="shared" si="12"/>
        <v>-1</v>
      </c>
    </row>
    <row r="444" spans="1:2" x14ac:dyDescent="0.3">
      <c r="A444" t="s">
        <v>133</v>
      </c>
      <c r="B444">
        <f t="shared" si="12"/>
        <v>-1</v>
      </c>
    </row>
    <row r="445" spans="1:2" x14ac:dyDescent="0.3">
      <c r="A445" t="s">
        <v>133</v>
      </c>
      <c r="B445">
        <f t="shared" si="12"/>
        <v>-1</v>
      </c>
    </row>
    <row r="446" spans="1:2" x14ac:dyDescent="0.3">
      <c r="A446" t="s">
        <v>133</v>
      </c>
      <c r="B446">
        <f t="shared" si="12"/>
        <v>-1</v>
      </c>
    </row>
    <row r="447" spans="1:2" x14ac:dyDescent="0.3">
      <c r="A447" t="s">
        <v>133</v>
      </c>
      <c r="B447">
        <f t="shared" si="12"/>
        <v>-1</v>
      </c>
    </row>
    <row r="448" spans="1:2" x14ac:dyDescent="0.3">
      <c r="A448" t="s">
        <v>133</v>
      </c>
      <c r="B448">
        <f t="shared" si="12"/>
        <v>-1</v>
      </c>
    </row>
    <row r="449" spans="1:2" x14ac:dyDescent="0.3">
      <c r="A449" t="s">
        <v>133</v>
      </c>
      <c r="B449">
        <f t="shared" si="12"/>
        <v>-1</v>
      </c>
    </row>
    <row r="450" spans="1:2" x14ac:dyDescent="0.3">
      <c r="A450" t="s">
        <v>133</v>
      </c>
      <c r="B450">
        <f t="shared" ref="B450:B513" si="13">-A450</f>
        <v>-1</v>
      </c>
    </row>
    <row r="451" spans="1:2" x14ac:dyDescent="0.3">
      <c r="A451" t="s">
        <v>133</v>
      </c>
      <c r="B451">
        <f t="shared" si="13"/>
        <v>-1</v>
      </c>
    </row>
    <row r="452" spans="1:2" x14ac:dyDescent="0.3">
      <c r="A452" t="s">
        <v>133</v>
      </c>
      <c r="B452">
        <f t="shared" si="13"/>
        <v>-1</v>
      </c>
    </row>
    <row r="453" spans="1:2" x14ac:dyDescent="0.3">
      <c r="A453" t="s">
        <v>133</v>
      </c>
      <c r="B453">
        <f t="shared" si="13"/>
        <v>-1</v>
      </c>
    </row>
    <row r="454" spans="1:2" x14ac:dyDescent="0.3">
      <c r="A454" t="s">
        <v>134</v>
      </c>
      <c r="B454">
        <f t="shared" si="13"/>
        <v>-2</v>
      </c>
    </row>
    <row r="455" spans="1:2" x14ac:dyDescent="0.3">
      <c r="A455" t="s">
        <v>133</v>
      </c>
      <c r="B455">
        <f t="shared" si="13"/>
        <v>-1</v>
      </c>
    </row>
    <row r="456" spans="1:2" x14ac:dyDescent="0.3">
      <c r="A456" t="s">
        <v>133</v>
      </c>
      <c r="B456">
        <f t="shared" si="13"/>
        <v>-1</v>
      </c>
    </row>
    <row r="457" spans="1:2" x14ac:dyDescent="0.3">
      <c r="A457" t="s">
        <v>133</v>
      </c>
      <c r="B457">
        <f t="shared" si="13"/>
        <v>-1</v>
      </c>
    </row>
    <row r="458" spans="1:2" x14ac:dyDescent="0.3">
      <c r="A458" t="s">
        <v>133</v>
      </c>
      <c r="B458">
        <f t="shared" si="13"/>
        <v>-1</v>
      </c>
    </row>
    <row r="459" spans="1:2" x14ac:dyDescent="0.3">
      <c r="A459" t="s">
        <v>133</v>
      </c>
      <c r="B459">
        <f t="shared" si="13"/>
        <v>-1</v>
      </c>
    </row>
    <row r="460" spans="1:2" x14ac:dyDescent="0.3">
      <c r="A460" t="s">
        <v>133</v>
      </c>
      <c r="B460">
        <f t="shared" si="13"/>
        <v>-1</v>
      </c>
    </row>
    <row r="461" spans="1:2" x14ac:dyDescent="0.3">
      <c r="A461" t="s">
        <v>133</v>
      </c>
      <c r="B461">
        <f t="shared" si="13"/>
        <v>-1</v>
      </c>
    </row>
    <row r="462" spans="1:2" x14ac:dyDescent="0.3">
      <c r="A462" t="s">
        <v>133</v>
      </c>
      <c r="B462">
        <f t="shared" si="13"/>
        <v>-1</v>
      </c>
    </row>
    <row r="463" spans="1:2" x14ac:dyDescent="0.3">
      <c r="A463" t="s">
        <v>133</v>
      </c>
      <c r="B463">
        <f t="shared" si="13"/>
        <v>-1</v>
      </c>
    </row>
    <row r="464" spans="1:2" x14ac:dyDescent="0.3">
      <c r="A464" t="s">
        <v>133</v>
      </c>
      <c r="B464">
        <f t="shared" si="13"/>
        <v>-1</v>
      </c>
    </row>
    <row r="465" spans="1:2" x14ac:dyDescent="0.3">
      <c r="A465" t="s">
        <v>133</v>
      </c>
      <c r="B465">
        <f t="shared" si="13"/>
        <v>-1</v>
      </c>
    </row>
    <row r="466" spans="1:2" x14ac:dyDescent="0.3">
      <c r="A466" t="s">
        <v>133</v>
      </c>
      <c r="B466">
        <f t="shared" si="13"/>
        <v>-1</v>
      </c>
    </row>
    <row r="467" spans="1:2" x14ac:dyDescent="0.3">
      <c r="A467" t="s">
        <v>133</v>
      </c>
      <c r="B467">
        <f t="shared" si="13"/>
        <v>-1</v>
      </c>
    </row>
    <row r="468" spans="1:2" x14ac:dyDescent="0.3">
      <c r="A468" t="s">
        <v>133</v>
      </c>
      <c r="B468">
        <f t="shared" si="13"/>
        <v>-1</v>
      </c>
    </row>
    <row r="469" spans="1:2" x14ac:dyDescent="0.3">
      <c r="A469" t="s">
        <v>133</v>
      </c>
      <c r="B469">
        <f t="shared" si="13"/>
        <v>-1</v>
      </c>
    </row>
    <row r="470" spans="1:2" x14ac:dyDescent="0.3">
      <c r="A470" t="s">
        <v>133</v>
      </c>
      <c r="B470">
        <f t="shared" si="13"/>
        <v>-1</v>
      </c>
    </row>
    <row r="471" spans="1:2" x14ac:dyDescent="0.3">
      <c r="A471" t="s">
        <v>133</v>
      </c>
      <c r="B471">
        <f t="shared" si="13"/>
        <v>-1</v>
      </c>
    </row>
    <row r="472" spans="1:2" x14ac:dyDescent="0.3">
      <c r="A472" t="s">
        <v>133</v>
      </c>
      <c r="B472">
        <f t="shared" si="13"/>
        <v>-1</v>
      </c>
    </row>
    <row r="473" spans="1:2" x14ac:dyDescent="0.3">
      <c r="A473" t="s">
        <v>133</v>
      </c>
      <c r="B473">
        <f t="shared" si="13"/>
        <v>-1</v>
      </c>
    </row>
    <row r="474" spans="1:2" x14ac:dyDescent="0.3">
      <c r="A474" t="s">
        <v>133</v>
      </c>
      <c r="B474">
        <f t="shared" si="13"/>
        <v>-1</v>
      </c>
    </row>
    <row r="475" spans="1:2" x14ac:dyDescent="0.3">
      <c r="A475" t="s">
        <v>133</v>
      </c>
      <c r="B475">
        <f t="shared" si="13"/>
        <v>-1</v>
      </c>
    </row>
    <row r="476" spans="1:2" x14ac:dyDescent="0.3">
      <c r="A476" t="s">
        <v>133</v>
      </c>
      <c r="B476">
        <f t="shared" si="13"/>
        <v>-1</v>
      </c>
    </row>
    <row r="477" spans="1:2" x14ac:dyDescent="0.3">
      <c r="A477" t="s">
        <v>133</v>
      </c>
      <c r="B477">
        <f t="shared" si="13"/>
        <v>-1</v>
      </c>
    </row>
    <row r="478" spans="1:2" x14ac:dyDescent="0.3">
      <c r="A478" t="s">
        <v>133</v>
      </c>
      <c r="B478">
        <f t="shared" si="13"/>
        <v>-1</v>
      </c>
    </row>
    <row r="479" spans="1:2" x14ac:dyDescent="0.3">
      <c r="A479" t="s">
        <v>133</v>
      </c>
      <c r="B479">
        <f t="shared" si="13"/>
        <v>-1</v>
      </c>
    </row>
    <row r="480" spans="1:2" x14ac:dyDescent="0.3">
      <c r="A480" t="s">
        <v>133</v>
      </c>
      <c r="B480">
        <f t="shared" si="13"/>
        <v>-1</v>
      </c>
    </row>
    <row r="481" spans="1:2" x14ac:dyDescent="0.3">
      <c r="A481" t="s">
        <v>133</v>
      </c>
      <c r="B481">
        <f t="shared" si="13"/>
        <v>-1</v>
      </c>
    </row>
    <row r="482" spans="1:2" x14ac:dyDescent="0.3">
      <c r="A482" t="s">
        <v>133</v>
      </c>
      <c r="B482">
        <f t="shared" si="13"/>
        <v>-1</v>
      </c>
    </row>
    <row r="483" spans="1:2" x14ac:dyDescent="0.3">
      <c r="A483" t="s">
        <v>133</v>
      </c>
      <c r="B483">
        <f t="shared" si="13"/>
        <v>-1</v>
      </c>
    </row>
    <row r="484" spans="1:2" x14ac:dyDescent="0.3">
      <c r="A484" t="s">
        <v>133</v>
      </c>
      <c r="B484">
        <f t="shared" si="13"/>
        <v>-1</v>
      </c>
    </row>
    <row r="485" spans="1:2" x14ac:dyDescent="0.3">
      <c r="A485" t="s">
        <v>133</v>
      </c>
      <c r="B485">
        <f t="shared" si="13"/>
        <v>-1</v>
      </c>
    </row>
    <row r="486" spans="1:2" x14ac:dyDescent="0.3">
      <c r="A486" t="s">
        <v>133</v>
      </c>
      <c r="B486">
        <f t="shared" si="13"/>
        <v>-1</v>
      </c>
    </row>
    <row r="487" spans="1:2" x14ac:dyDescent="0.3">
      <c r="A487" t="s">
        <v>133</v>
      </c>
      <c r="B487">
        <f t="shared" si="13"/>
        <v>-1</v>
      </c>
    </row>
    <row r="488" spans="1:2" x14ac:dyDescent="0.3">
      <c r="A488" t="s">
        <v>133</v>
      </c>
      <c r="B488">
        <f t="shared" si="13"/>
        <v>-1</v>
      </c>
    </row>
    <row r="489" spans="1:2" x14ac:dyDescent="0.3">
      <c r="A489" t="s">
        <v>133</v>
      </c>
      <c r="B489">
        <f t="shared" si="13"/>
        <v>-1</v>
      </c>
    </row>
    <row r="490" spans="1:2" x14ac:dyDescent="0.3">
      <c r="A490" t="s">
        <v>133</v>
      </c>
      <c r="B490">
        <f t="shared" si="13"/>
        <v>-1</v>
      </c>
    </row>
    <row r="491" spans="1:2" x14ac:dyDescent="0.3">
      <c r="A491" t="s">
        <v>133</v>
      </c>
      <c r="B491">
        <f t="shared" si="13"/>
        <v>-1</v>
      </c>
    </row>
    <row r="492" spans="1:2" x14ac:dyDescent="0.3">
      <c r="A492" t="s">
        <v>133</v>
      </c>
      <c r="B492">
        <f t="shared" si="13"/>
        <v>-1</v>
      </c>
    </row>
    <row r="493" spans="1:2" x14ac:dyDescent="0.3">
      <c r="A493" t="s">
        <v>133</v>
      </c>
      <c r="B493">
        <f t="shared" si="13"/>
        <v>-1</v>
      </c>
    </row>
    <row r="494" spans="1:2" x14ac:dyDescent="0.3">
      <c r="A494" t="s">
        <v>133</v>
      </c>
      <c r="B494">
        <f t="shared" si="13"/>
        <v>-1</v>
      </c>
    </row>
    <row r="495" spans="1:2" x14ac:dyDescent="0.3">
      <c r="A495" t="s">
        <v>133</v>
      </c>
      <c r="B495">
        <f t="shared" si="13"/>
        <v>-1</v>
      </c>
    </row>
    <row r="496" spans="1:2" x14ac:dyDescent="0.3">
      <c r="A496" t="s">
        <v>133</v>
      </c>
      <c r="B496">
        <f t="shared" si="13"/>
        <v>-1</v>
      </c>
    </row>
    <row r="497" spans="1:2" x14ac:dyDescent="0.3">
      <c r="A497" t="s">
        <v>133</v>
      </c>
      <c r="B497">
        <f t="shared" si="13"/>
        <v>-1</v>
      </c>
    </row>
    <row r="498" spans="1:2" x14ac:dyDescent="0.3">
      <c r="A498" t="s">
        <v>133</v>
      </c>
      <c r="B498">
        <f t="shared" si="13"/>
        <v>-1</v>
      </c>
    </row>
    <row r="499" spans="1:2" x14ac:dyDescent="0.3">
      <c r="A499" t="s">
        <v>133</v>
      </c>
      <c r="B499">
        <f t="shared" si="13"/>
        <v>-1</v>
      </c>
    </row>
    <row r="500" spans="1:2" x14ac:dyDescent="0.3">
      <c r="A500" t="s">
        <v>133</v>
      </c>
      <c r="B500">
        <f t="shared" si="13"/>
        <v>-1</v>
      </c>
    </row>
    <row r="501" spans="1:2" x14ac:dyDescent="0.3">
      <c r="A501" t="s">
        <v>133</v>
      </c>
      <c r="B501">
        <f t="shared" si="13"/>
        <v>-1</v>
      </c>
    </row>
    <row r="502" spans="1:2" x14ac:dyDescent="0.3">
      <c r="A502" t="s">
        <v>133</v>
      </c>
      <c r="B502">
        <f t="shared" si="13"/>
        <v>-1</v>
      </c>
    </row>
    <row r="503" spans="1:2" x14ac:dyDescent="0.3">
      <c r="A503" t="s">
        <v>133</v>
      </c>
      <c r="B503">
        <f t="shared" si="13"/>
        <v>-1</v>
      </c>
    </row>
    <row r="504" spans="1:2" x14ac:dyDescent="0.3">
      <c r="A504" t="s">
        <v>133</v>
      </c>
      <c r="B504">
        <f t="shared" si="13"/>
        <v>-1</v>
      </c>
    </row>
    <row r="505" spans="1:2" x14ac:dyDescent="0.3">
      <c r="A505" t="s">
        <v>133</v>
      </c>
      <c r="B505">
        <f t="shared" si="13"/>
        <v>-1</v>
      </c>
    </row>
    <row r="506" spans="1:2" x14ac:dyDescent="0.3">
      <c r="A506" t="s">
        <v>133</v>
      </c>
      <c r="B506">
        <f t="shared" si="13"/>
        <v>-1</v>
      </c>
    </row>
    <row r="507" spans="1:2" x14ac:dyDescent="0.3">
      <c r="A507" t="s">
        <v>133</v>
      </c>
      <c r="B507">
        <f t="shared" si="13"/>
        <v>-1</v>
      </c>
    </row>
    <row r="508" spans="1:2" x14ac:dyDescent="0.3">
      <c r="A508" t="s">
        <v>133</v>
      </c>
      <c r="B508">
        <f t="shared" si="13"/>
        <v>-1</v>
      </c>
    </row>
    <row r="509" spans="1:2" x14ac:dyDescent="0.3">
      <c r="A509" t="s">
        <v>133</v>
      </c>
      <c r="B509">
        <f t="shared" si="13"/>
        <v>-1</v>
      </c>
    </row>
    <row r="510" spans="1:2" x14ac:dyDescent="0.3">
      <c r="A510" t="s">
        <v>133</v>
      </c>
      <c r="B510">
        <f t="shared" si="13"/>
        <v>-1</v>
      </c>
    </row>
    <row r="511" spans="1:2" x14ac:dyDescent="0.3">
      <c r="A511" t="s">
        <v>133</v>
      </c>
      <c r="B511">
        <f t="shared" si="13"/>
        <v>-1</v>
      </c>
    </row>
    <row r="512" spans="1:2" x14ac:dyDescent="0.3">
      <c r="A512" t="s">
        <v>133</v>
      </c>
      <c r="B512">
        <f t="shared" si="13"/>
        <v>-1</v>
      </c>
    </row>
    <row r="513" spans="1:2" x14ac:dyDescent="0.3">
      <c r="A513" t="s">
        <v>133</v>
      </c>
      <c r="B513">
        <f t="shared" si="13"/>
        <v>-1</v>
      </c>
    </row>
    <row r="514" spans="1:2" x14ac:dyDescent="0.3">
      <c r="A514" t="s">
        <v>133</v>
      </c>
      <c r="B514">
        <f t="shared" ref="B514:B577" si="14">-A514</f>
        <v>-1</v>
      </c>
    </row>
    <row r="515" spans="1:2" x14ac:dyDescent="0.3">
      <c r="A515" t="s">
        <v>133</v>
      </c>
      <c r="B515">
        <f t="shared" si="14"/>
        <v>-1</v>
      </c>
    </row>
    <row r="516" spans="1:2" x14ac:dyDescent="0.3">
      <c r="A516" t="s">
        <v>133</v>
      </c>
      <c r="B516">
        <f t="shared" si="14"/>
        <v>-1</v>
      </c>
    </row>
    <row r="517" spans="1:2" x14ac:dyDescent="0.3">
      <c r="A517" t="s">
        <v>133</v>
      </c>
      <c r="B517">
        <f t="shared" si="14"/>
        <v>-1</v>
      </c>
    </row>
    <row r="518" spans="1:2" x14ac:dyDescent="0.3">
      <c r="A518" t="s">
        <v>134</v>
      </c>
      <c r="B518">
        <f t="shared" si="14"/>
        <v>-2</v>
      </c>
    </row>
    <row r="519" spans="1:2" x14ac:dyDescent="0.3">
      <c r="A519" t="s">
        <v>133</v>
      </c>
      <c r="B519">
        <f t="shared" si="14"/>
        <v>-1</v>
      </c>
    </row>
    <row r="520" spans="1:2" x14ac:dyDescent="0.3">
      <c r="A520" t="s">
        <v>133</v>
      </c>
      <c r="B520">
        <f t="shared" si="14"/>
        <v>-1</v>
      </c>
    </row>
    <row r="521" spans="1:2" x14ac:dyDescent="0.3">
      <c r="A521" t="s">
        <v>133</v>
      </c>
      <c r="B521">
        <f t="shared" si="14"/>
        <v>-1</v>
      </c>
    </row>
    <row r="522" spans="1:2" x14ac:dyDescent="0.3">
      <c r="A522" t="s">
        <v>133</v>
      </c>
      <c r="B522">
        <f t="shared" si="14"/>
        <v>-1</v>
      </c>
    </row>
    <row r="523" spans="1:2" x14ac:dyDescent="0.3">
      <c r="A523" t="s">
        <v>133</v>
      </c>
      <c r="B523">
        <f t="shared" si="14"/>
        <v>-1</v>
      </c>
    </row>
    <row r="524" spans="1:2" x14ac:dyDescent="0.3">
      <c r="A524" t="s">
        <v>133</v>
      </c>
      <c r="B524">
        <f t="shared" si="14"/>
        <v>-1</v>
      </c>
    </row>
    <row r="525" spans="1:2" x14ac:dyDescent="0.3">
      <c r="A525" t="s">
        <v>133</v>
      </c>
      <c r="B525">
        <f t="shared" si="14"/>
        <v>-1</v>
      </c>
    </row>
    <row r="526" spans="1:2" x14ac:dyDescent="0.3">
      <c r="A526" t="s">
        <v>133</v>
      </c>
      <c r="B526">
        <f t="shared" si="14"/>
        <v>-1</v>
      </c>
    </row>
    <row r="527" spans="1:2" x14ac:dyDescent="0.3">
      <c r="A527" t="s">
        <v>133</v>
      </c>
      <c r="B527">
        <f t="shared" si="14"/>
        <v>-1</v>
      </c>
    </row>
    <row r="528" spans="1:2" x14ac:dyDescent="0.3">
      <c r="A528" t="s">
        <v>133</v>
      </c>
      <c r="B528">
        <f t="shared" si="14"/>
        <v>-1</v>
      </c>
    </row>
    <row r="529" spans="1:2" x14ac:dyDescent="0.3">
      <c r="A529" t="s">
        <v>133</v>
      </c>
      <c r="B529">
        <f t="shared" si="14"/>
        <v>-1</v>
      </c>
    </row>
    <row r="530" spans="1:2" x14ac:dyDescent="0.3">
      <c r="A530" t="s">
        <v>133</v>
      </c>
      <c r="B530">
        <f t="shared" si="14"/>
        <v>-1</v>
      </c>
    </row>
    <row r="531" spans="1:2" x14ac:dyDescent="0.3">
      <c r="A531" t="s">
        <v>133</v>
      </c>
      <c r="B531">
        <f t="shared" si="14"/>
        <v>-1</v>
      </c>
    </row>
    <row r="532" spans="1:2" x14ac:dyDescent="0.3">
      <c r="A532" t="s">
        <v>133</v>
      </c>
      <c r="B532">
        <f t="shared" si="14"/>
        <v>-1</v>
      </c>
    </row>
    <row r="533" spans="1:2" x14ac:dyDescent="0.3">
      <c r="A533" t="s">
        <v>133</v>
      </c>
      <c r="B533">
        <f t="shared" si="14"/>
        <v>-1</v>
      </c>
    </row>
    <row r="534" spans="1:2" x14ac:dyDescent="0.3">
      <c r="A534" t="s">
        <v>133</v>
      </c>
      <c r="B534">
        <f t="shared" si="14"/>
        <v>-1</v>
      </c>
    </row>
    <row r="535" spans="1:2" x14ac:dyDescent="0.3">
      <c r="A535" t="s">
        <v>133</v>
      </c>
      <c r="B535">
        <f t="shared" si="14"/>
        <v>-1</v>
      </c>
    </row>
    <row r="536" spans="1:2" x14ac:dyDescent="0.3">
      <c r="A536" t="s">
        <v>133</v>
      </c>
      <c r="B536">
        <f t="shared" si="14"/>
        <v>-1</v>
      </c>
    </row>
    <row r="537" spans="1:2" x14ac:dyDescent="0.3">
      <c r="A537" t="s">
        <v>133</v>
      </c>
      <c r="B537">
        <f t="shared" si="14"/>
        <v>-1</v>
      </c>
    </row>
    <row r="538" spans="1:2" x14ac:dyDescent="0.3">
      <c r="A538" t="s">
        <v>133</v>
      </c>
      <c r="B538">
        <f t="shared" si="14"/>
        <v>-1</v>
      </c>
    </row>
    <row r="539" spans="1:2" x14ac:dyDescent="0.3">
      <c r="A539" t="s">
        <v>133</v>
      </c>
      <c r="B539">
        <f t="shared" si="14"/>
        <v>-1</v>
      </c>
    </row>
    <row r="540" spans="1:2" x14ac:dyDescent="0.3">
      <c r="A540" t="s">
        <v>134</v>
      </c>
      <c r="B540">
        <f t="shared" si="14"/>
        <v>-2</v>
      </c>
    </row>
    <row r="541" spans="1:2" x14ac:dyDescent="0.3">
      <c r="A541" t="s">
        <v>133</v>
      </c>
      <c r="B541">
        <f t="shared" si="14"/>
        <v>-1</v>
      </c>
    </row>
    <row r="542" spans="1:2" x14ac:dyDescent="0.3">
      <c r="A542" t="s">
        <v>133</v>
      </c>
      <c r="B542">
        <f t="shared" si="14"/>
        <v>-1</v>
      </c>
    </row>
    <row r="543" spans="1:2" x14ac:dyDescent="0.3">
      <c r="A543" t="s">
        <v>133</v>
      </c>
      <c r="B543">
        <f t="shared" si="14"/>
        <v>-1</v>
      </c>
    </row>
    <row r="544" spans="1:2" x14ac:dyDescent="0.3">
      <c r="A544" t="s">
        <v>133</v>
      </c>
      <c r="B544">
        <f t="shared" si="14"/>
        <v>-1</v>
      </c>
    </row>
    <row r="545" spans="1:2" x14ac:dyDescent="0.3">
      <c r="A545" t="s">
        <v>133</v>
      </c>
      <c r="B545">
        <f t="shared" si="14"/>
        <v>-1</v>
      </c>
    </row>
    <row r="546" spans="1:2" x14ac:dyDescent="0.3">
      <c r="A546" t="s">
        <v>133</v>
      </c>
      <c r="B546">
        <f t="shared" si="14"/>
        <v>-1</v>
      </c>
    </row>
    <row r="547" spans="1:2" x14ac:dyDescent="0.3">
      <c r="A547" t="s">
        <v>133</v>
      </c>
      <c r="B547">
        <f t="shared" si="14"/>
        <v>-1</v>
      </c>
    </row>
    <row r="548" spans="1:2" x14ac:dyDescent="0.3">
      <c r="A548" t="s">
        <v>133</v>
      </c>
      <c r="B548">
        <f t="shared" si="14"/>
        <v>-1</v>
      </c>
    </row>
    <row r="549" spans="1:2" x14ac:dyDescent="0.3">
      <c r="A549" t="s">
        <v>135</v>
      </c>
      <c r="B549">
        <f t="shared" si="14"/>
        <v>-3</v>
      </c>
    </row>
    <row r="550" spans="1:2" x14ac:dyDescent="0.3">
      <c r="A550" t="s">
        <v>133</v>
      </c>
      <c r="B550">
        <f t="shared" si="14"/>
        <v>-1</v>
      </c>
    </row>
    <row r="551" spans="1:2" x14ac:dyDescent="0.3">
      <c r="A551" t="s">
        <v>133</v>
      </c>
      <c r="B551">
        <f t="shared" si="14"/>
        <v>-1</v>
      </c>
    </row>
    <row r="552" spans="1:2" x14ac:dyDescent="0.3">
      <c r="A552" t="s">
        <v>133</v>
      </c>
      <c r="B552">
        <f t="shared" si="14"/>
        <v>-1</v>
      </c>
    </row>
    <row r="553" spans="1:2" x14ac:dyDescent="0.3">
      <c r="A553" t="s">
        <v>133</v>
      </c>
      <c r="B553">
        <f t="shared" si="14"/>
        <v>-1</v>
      </c>
    </row>
    <row r="554" spans="1:2" x14ac:dyDescent="0.3">
      <c r="A554" t="s">
        <v>133</v>
      </c>
      <c r="B554">
        <f t="shared" si="14"/>
        <v>-1</v>
      </c>
    </row>
    <row r="555" spans="1:2" x14ac:dyDescent="0.3">
      <c r="A555" t="s">
        <v>133</v>
      </c>
      <c r="B555">
        <f t="shared" si="14"/>
        <v>-1</v>
      </c>
    </row>
    <row r="556" spans="1:2" x14ac:dyDescent="0.3">
      <c r="A556" t="s">
        <v>133</v>
      </c>
      <c r="B556">
        <f t="shared" si="14"/>
        <v>-1</v>
      </c>
    </row>
    <row r="557" spans="1:2" x14ac:dyDescent="0.3">
      <c r="A557" t="s">
        <v>133</v>
      </c>
      <c r="B557">
        <f t="shared" si="14"/>
        <v>-1</v>
      </c>
    </row>
    <row r="558" spans="1:2" x14ac:dyDescent="0.3">
      <c r="A558" t="s">
        <v>133</v>
      </c>
      <c r="B558">
        <f t="shared" si="14"/>
        <v>-1</v>
      </c>
    </row>
    <row r="559" spans="1:2" x14ac:dyDescent="0.3">
      <c r="A559" t="s">
        <v>133</v>
      </c>
      <c r="B559">
        <f t="shared" si="14"/>
        <v>-1</v>
      </c>
    </row>
    <row r="560" spans="1:2" x14ac:dyDescent="0.3">
      <c r="A560" t="s">
        <v>133</v>
      </c>
      <c r="B560">
        <f t="shared" si="14"/>
        <v>-1</v>
      </c>
    </row>
    <row r="561" spans="1:2" x14ac:dyDescent="0.3">
      <c r="A561" t="s">
        <v>133</v>
      </c>
      <c r="B561">
        <f t="shared" si="14"/>
        <v>-1</v>
      </c>
    </row>
    <row r="562" spans="1:2" x14ac:dyDescent="0.3">
      <c r="A562" t="s">
        <v>133</v>
      </c>
      <c r="B562">
        <f t="shared" si="14"/>
        <v>-1</v>
      </c>
    </row>
    <row r="563" spans="1:2" x14ac:dyDescent="0.3">
      <c r="A563" t="s">
        <v>133</v>
      </c>
      <c r="B563">
        <f t="shared" si="14"/>
        <v>-1</v>
      </c>
    </row>
    <row r="564" spans="1:2" x14ac:dyDescent="0.3">
      <c r="A564" t="s">
        <v>133</v>
      </c>
      <c r="B564">
        <f t="shared" si="14"/>
        <v>-1</v>
      </c>
    </row>
    <row r="565" spans="1:2" x14ac:dyDescent="0.3">
      <c r="A565" t="s">
        <v>133</v>
      </c>
      <c r="B565">
        <f t="shared" si="14"/>
        <v>-1</v>
      </c>
    </row>
    <row r="566" spans="1:2" x14ac:dyDescent="0.3">
      <c r="A566" t="s">
        <v>133</v>
      </c>
      <c r="B566">
        <f t="shared" si="14"/>
        <v>-1</v>
      </c>
    </row>
    <row r="567" spans="1:2" x14ac:dyDescent="0.3">
      <c r="A567" t="s">
        <v>133</v>
      </c>
      <c r="B567">
        <f t="shared" si="14"/>
        <v>-1</v>
      </c>
    </row>
    <row r="568" spans="1:2" x14ac:dyDescent="0.3">
      <c r="A568" t="s">
        <v>133</v>
      </c>
      <c r="B568">
        <f t="shared" si="14"/>
        <v>-1</v>
      </c>
    </row>
    <row r="569" spans="1:2" x14ac:dyDescent="0.3">
      <c r="A569" t="s">
        <v>133</v>
      </c>
      <c r="B569">
        <f t="shared" si="14"/>
        <v>-1</v>
      </c>
    </row>
    <row r="570" spans="1:2" x14ac:dyDescent="0.3">
      <c r="A570" t="s">
        <v>133</v>
      </c>
      <c r="B570">
        <f t="shared" si="14"/>
        <v>-1</v>
      </c>
    </row>
    <row r="571" spans="1:2" x14ac:dyDescent="0.3">
      <c r="A571" t="s">
        <v>133</v>
      </c>
      <c r="B571">
        <f t="shared" si="14"/>
        <v>-1</v>
      </c>
    </row>
    <row r="572" spans="1:2" x14ac:dyDescent="0.3">
      <c r="A572" t="s">
        <v>133</v>
      </c>
      <c r="B572">
        <f t="shared" si="14"/>
        <v>-1</v>
      </c>
    </row>
    <row r="573" spans="1:2" x14ac:dyDescent="0.3">
      <c r="A573" t="s">
        <v>133</v>
      </c>
      <c r="B573">
        <f t="shared" si="14"/>
        <v>-1</v>
      </c>
    </row>
    <row r="574" spans="1:2" x14ac:dyDescent="0.3">
      <c r="A574" t="s">
        <v>133</v>
      </c>
      <c r="B574">
        <f t="shared" si="14"/>
        <v>-1</v>
      </c>
    </row>
    <row r="575" spans="1:2" x14ac:dyDescent="0.3">
      <c r="A575" t="s">
        <v>133</v>
      </c>
      <c r="B575">
        <f t="shared" si="14"/>
        <v>-1</v>
      </c>
    </row>
    <row r="576" spans="1:2" x14ac:dyDescent="0.3">
      <c r="A576" t="s">
        <v>133</v>
      </c>
      <c r="B576">
        <f t="shared" si="14"/>
        <v>-1</v>
      </c>
    </row>
    <row r="577" spans="1:2" x14ac:dyDescent="0.3">
      <c r="A577" t="s">
        <v>133</v>
      </c>
      <c r="B577">
        <f t="shared" si="14"/>
        <v>-1</v>
      </c>
    </row>
    <row r="578" spans="1:2" x14ac:dyDescent="0.3">
      <c r="A578" t="s">
        <v>133</v>
      </c>
      <c r="B578">
        <f t="shared" ref="B578:B641" si="15">-A578</f>
        <v>-1</v>
      </c>
    </row>
    <row r="579" spans="1:2" x14ac:dyDescent="0.3">
      <c r="A579" t="s">
        <v>133</v>
      </c>
      <c r="B579">
        <f t="shared" si="15"/>
        <v>-1</v>
      </c>
    </row>
    <row r="580" spans="1:2" x14ac:dyDescent="0.3">
      <c r="A580" t="s">
        <v>133</v>
      </c>
      <c r="B580">
        <f t="shared" si="15"/>
        <v>-1</v>
      </c>
    </row>
    <row r="581" spans="1:2" x14ac:dyDescent="0.3">
      <c r="A581" t="s">
        <v>133</v>
      </c>
      <c r="B581">
        <f t="shared" si="15"/>
        <v>-1</v>
      </c>
    </row>
    <row r="582" spans="1:2" x14ac:dyDescent="0.3">
      <c r="A582" t="s">
        <v>133</v>
      </c>
      <c r="B582">
        <f t="shared" si="15"/>
        <v>-1</v>
      </c>
    </row>
    <row r="583" spans="1:2" x14ac:dyDescent="0.3">
      <c r="A583" t="s">
        <v>133</v>
      </c>
      <c r="B583">
        <f t="shared" si="15"/>
        <v>-1</v>
      </c>
    </row>
    <row r="584" spans="1:2" x14ac:dyDescent="0.3">
      <c r="A584" t="s">
        <v>133</v>
      </c>
      <c r="B584">
        <f t="shared" si="15"/>
        <v>-1</v>
      </c>
    </row>
    <row r="585" spans="1:2" x14ac:dyDescent="0.3">
      <c r="A585" t="s">
        <v>133</v>
      </c>
      <c r="B585">
        <f t="shared" si="15"/>
        <v>-1</v>
      </c>
    </row>
    <row r="586" spans="1:2" x14ac:dyDescent="0.3">
      <c r="A586" t="s">
        <v>133</v>
      </c>
      <c r="B586">
        <f t="shared" si="15"/>
        <v>-1</v>
      </c>
    </row>
    <row r="587" spans="1:2" x14ac:dyDescent="0.3">
      <c r="A587" t="s">
        <v>133</v>
      </c>
      <c r="B587">
        <f t="shared" si="15"/>
        <v>-1</v>
      </c>
    </row>
    <row r="588" spans="1:2" x14ac:dyDescent="0.3">
      <c r="A588" t="s">
        <v>133</v>
      </c>
      <c r="B588">
        <f t="shared" si="15"/>
        <v>-1</v>
      </c>
    </row>
    <row r="589" spans="1:2" x14ac:dyDescent="0.3">
      <c r="A589" t="s">
        <v>133</v>
      </c>
      <c r="B589">
        <f t="shared" si="15"/>
        <v>-1</v>
      </c>
    </row>
    <row r="590" spans="1:2" x14ac:dyDescent="0.3">
      <c r="A590" t="s">
        <v>133</v>
      </c>
      <c r="B590">
        <f t="shared" si="15"/>
        <v>-1</v>
      </c>
    </row>
    <row r="591" spans="1:2" x14ac:dyDescent="0.3">
      <c r="A591" t="s">
        <v>133</v>
      </c>
      <c r="B591">
        <f t="shared" si="15"/>
        <v>-1</v>
      </c>
    </row>
    <row r="592" spans="1:2" x14ac:dyDescent="0.3">
      <c r="A592" t="s">
        <v>133</v>
      </c>
      <c r="B592">
        <f t="shared" si="15"/>
        <v>-1</v>
      </c>
    </row>
    <row r="593" spans="1:2" x14ac:dyDescent="0.3">
      <c r="A593" t="s">
        <v>134</v>
      </c>
      <c r="B593">
        <f t="shared" si="15"/>
        <v>-2</v>
      </c>
    </row>
    <row r="594" spans="1:2" x14ac:dyDescent="0.3">
      <c r="A594" t="s">
        <v>133</v>
      </c>
      <c r="B594">
        <f t="shared" si="15"/>
        <v>-1</v>
      </c>
    </row>
    <row r="595" spans="1:2" x14ac:dyDescent="0.3">
      <c r="A595" t="s">
        <v>133</v>
      </c>
      <c r="B595">
        <f t="shared" si="15"/>
        <v>-1</v>
      </c>
    </row>
    <row r="596" spans="1:2" x14ac:dyDescent="0.3">
      <c r="A596" t="s">
        <v>133</v>
      </c>
      <c r="B596">
        <f t="shared" si="15"/>
        <v>-1</v>
      </c>
    </row>
    <row r="597" spans="1:2" x14ac:dyDescent="0.3">
      <c r="A597" t="s">
        <v>133</v>
      </c>
      <c r="B597">
        <f t="shared" si="15"/>
        <v>-1</v>
      </c>
    </row>
    <row r="598" spans="1:2" x14ac:dyDescent="0.3">
      <c r="A598" t="s">
        <v>133</v>
      </c>
      <c r="B598">
        <f t="shared" si="15"/>
        <v>-1</v>
      </c>
    </row>
    <row r="599" spans="1:2" x14ac:dyDescent="0.3">
      <c r="A599" t="s">
        <v>133</v>
      </c>
      <c r="B599">
        <f t="shared" si="15"/>
        <v>-1</v>
      </c>
    </row>
    <row r="600" spans="1:2" x14ac:dyDescent="0.3">
      <c r="A600" t="s">
        <v>133</v>
      </c>
      <c r="B600">
        <f t="shared" si="15"/>
        <v>-1</v>
      </c>
    </row>
    <row r="601" spans="1:2" x14ac:dyDescent="0.3">
      <c r="A601" t="s">
        <v>133</v>
      </c>
      <c r="B601">
        <f t="shared" si="15"/>
        <v>-1</v>
      </c>
    </row>
    <row r="602" spans="1:2" x14ac:dyDescent="0.3">
      <c r="A602" t="s">
        <v>133</v>
      </c>
      <c r="B602">
        <f t="shared" si="15"/>
        <v>-1</v>
      </c>
    </row>
    <row r="603" spans="1:2" x14ac:dyDescent="0.3">
      <c r="A603" t="s">
        <v>133</v>
      </c>
      <c r="B603">
        <f t="shared" si="15"/>
        <v>-1</v>
      </c>
    </row>
    <row r="604" spans="1:2" x14ac:dyDescent="0.3">
      <c r="A604" t="s">
        <v>133</v>
      </c>
      <c r="B604">
        <f t="shared" si="15"/>
        <v>-1</v>
      </c>
    </row>
    <row r="605" spans="1:2" x14ac:dyDescent="0.3">
      <c r="A605" t="s">
        <v>133</v>
      </c>
      <c r="B605">
        <f t="shared" si="15"/>
        <v>-1</v>
      </c>
    </row>
    <row r="606" spans="1:2" x14ac:dyDescent="0.3">
      <c r="A606" t="s">
        <v>133</v>
      </c>
      <c r="B606">
        <f t="shared" si="15"/>
        <v>-1</v>
      </c>
    </row>
    <row r="607" spans="1:2" x14ac:dyDescent="0.3">
      <c r="A607" t="s">
        <v>133</v>
      </c>
      <c r="B607">
        <f t="shared" si="15"/>
        <v>-1</v>
      </c>
    </row>
    <row r="608" spans="1:2" x14ac:dyDescent="0.3">
      <c r="A608" t="s">
        <v>133</v>
      </c>
      <c r="B608">
        <f t="shared" si="15"/>
        <v>-1</v>
      </c>
    </row>
    <row r="609" spans="1:2" x14ac:dyDescent="0.3">
      <c r="A609" t="s">
        <v>133</v>
      </c>
      <c r="B609">
        <f t="shared" si="15"/>
        <v>-1</v>
      </c>
    </row>
    <row r="610" spans="1:2" x14ac:dyDescent="0.3">
      <c r="A610" t="s">
        <v>133</v>
      </c>
      <c r="B610">
        <f t="shared" si="15"/>
        <v>-1</v>
      </c>
    </row>
    <row r="611" spans="1:2" x14ac:dyDescent="0.3">
      <c r="A611" t="s">
        <v>133</v>
      </c>
      <c r="B611">
        <f t="shared" si="15"/>
        <v>-1</v>
      </c>
    </row>
    <row r="612" spans="1:2" x14ac:dyDescent="0.3">
      <c r="A612" t="s">
        <v>133</v>
      </c>
      <c r="B612">
        <f t="shared" si="15"/>
        <v>-1</v>
      </c>
    </row>
    <row r="613" spans="1:2" x14ac:dyDescent="0.3">
      <c r="A613" t="s">
        <v>133</v>
      </c>
      <c r="B613">
        <f t="shared" si="15"/>
        <v>-1</v>
      </c>
    </row>
    <row r="614" spans="1:2" x14ac:dyDescent="0.3">
      <c r="A614" t="s">
        <v>133</v>
      </c>
      <c r="B614">
        <f t="shared" si="15"/>
        <v>-1</v>
      </c>
    </row>
    <row r="615" spans="1:2" x14ac:dyDescent="0.3">
      <c r="A615" t="s">
        <v>133</v>
      </c>
      <c r="B615">
        <f t="shared" si="15"/>
        <v>-1</v>
      </c>
    </row>
    <row r="616" spans="1:2" x14ac:dyDescent="0.3">
      <c r="A616" t="s">
        <v>133</v>
      </c>
      <c r="B616">
        <f t="shared" si="15"/>
        <v>-1</v>
      </c>
    </row>
    <row r="617" spans="1:2" x14ac:dyDescent="0.3">
      <c r="A617" t="s">
        <v>133</v>
      </c>
      <c r="B617">
        <f t="shared" si="15"/>
        <v>-1</v>
      </c>
    </row>
    <row r="618" spans="1:2" x14ac:dyDescent="0.3">
      <c r="A618" t="s">
        <v>133</v>
      </c>
      <c r="B618">
        <f t="shared" si="15"/>
        <v>-1</v>
      </c>
    </row>
    <row r="619" spans="1:2" x14ac:dyDescent="0.3">
      <c r="A619" t="s">
        <v>133</v>
      </c>
      <c r="B619">
        <f t="shared" si="15"/>
        <v>-1</v>
      </c>
    </row>
    <row r="620" spans="1:2" x14ac:dyDescent="0.3">
      <c r="A620" t="s">
        <v>133</v>
      </c>
      <c r="B620">
        <f t="shared" si="15"/>
        <v>-1</v>
      </c>
    </row>
    <row r="621" spans="1:2" x14ac:dyDescent="0.3">
      <c r="A621" t="s">
        <v>133</v>
      </c>
      <c r="B621">
        <f t="shared" si="15"/>
        <v>-1</v>
      </c>
    </row>
    <row r="622" spans="1:2" x14ac:dyDescent="0.3">
      <c r="A622" t="s">
        <v>133</v>
      </c>
      <c r="B622">
        <f t="shared" si="15"/>
        <v>-1</v>
      </c>
    </row>
    <row r="623" spans="1:2" x14ac:dyDescent="0.3">
      <c r="A623" t="s">
        <v>133</v>
      </c>
      <c r="B623">
        <f t="shared" si="15"/>
        <v>-1</v>
      </c>
    </row>
    <row r="624" spans="1:2" x14ac:dyDescent="0.3">
      <c r="A624" t="s">
        <v>133</v>
      </c>
      <c r="B624">
        <f t="shared" si="15"/>
        <v>-1</v>
      </c>
    </row>
    <row r="625" spans="1:2" x14ac:dyDescent="0.3">
      <c r="A625" t="s">
        <v>133</v>
      </c>
      <c r="B625">
        <f t="shared" si="15"/>
        <v>-1</v>
      </c>
    </row>
    <row r="626" spans="1:2" x14ac:dyDescent="0.3">
      <c r="A626" t="s">
        <v>133</v>
      </c>
      <c r="B626">
        <f t="shared" si="15"/>
        <v>-1</v>
      </c>
    </row>
    <row r="627" spans="1:2" x14ac:dyDescent="0.3">
      <c r="A627" t="s">
        <v>133</v>
      </c>
      <c r="B627">
        <f t="shared" si="15"/>
        <v>-1</v>
      </c>
    </row>
    <row r="628" spans="1:2" x14ac:dyDescent="0.3">
      <c r="A628" t="s">
        <v>133</v>
      </c>
      <c r="B628">
        <f t="shared" si="15"/>
        <v>-1</v>
      </c>
    </row>
    <row r="629" spans="1:2" x14ac:dyDescent="0.3">
      <c r="A629" t="s">
        <v>133</v>
      </c>
      <c r="B629">
        <f t="shared" si="15"/>
        <v>-1</v>
      </c>
    </row>
    <row r="630" spans="1:2" x14ac:dyDescent="0.3">
      <c r="A630" t="s">
        <v>133</v>
      </c>
      <c r="B630">
        <f t="shared" si="15"/>
        <v>-1</v>
      </c>
    </row>
    <row r="631" spans="1:2" x14ac:dyDescent="0.3">
      <c r="A631" t="s">
        <v>133</v>
      </c>
      <c r="B631">
        <f t="shared" si="15"/>
        <v>-1</v>
      </c>
    </row>
    <row r="632" spans="1:2" x14ac:dyDescent="0.3">
      <c r="A632" t="s">
        <v>133</v>
      </c>
      <c r="B632">
        <f t="shared" si="15"/>
        <v>-1</v>
      </c>
    </row>
    <row r="633" spans="1:2" x14ac:dyDescent="0.3">
      <c r="A633" t="s">
        <v>133</v>
      </c>
      <c r="B633">
        <f t="shared" si="15"/>
        <v>-1</v>
      </c>
    </row>
    <row r="634" spans="1:2" x14ac:dyDescent="0.3">
      <c r="A634" t="s">
        <v>133</v>
      </c>
      <c r="B634">
        <f t="shared" si="15"/>
        <v>-1</v>
      </c>
    </row>
    <row r="635" spans="1:2" x14ac:dyDescent="0.3">
      <c r="A635" t="s">
        <v>133</v>
      </c>
      <c r="B635">
        <f t="shared" si="15"/>
        <v>-1</v>
      </c>
    </row>
    <row r="636" spans="1:2" x14ac:dyDescent="0.3">
      <c r="A636" t="s">
        <v>133</v>
      </c>
      <c r="B636">
        <f t="shared" si="15"/>
        <v>-1</v>
      </c>
    </row>
    <row r="637" spans="1:2" x14ac:dyDescent="0.3">
      <c r="A637" t="s">
        <v>133</v>
      </c>
      <c r="B637">
        <f t="shared" si="15"/>
        <v>-1</v>
      </c>
    </row>
    <row r="638" spans="1:2" x14ac:dyDescent="0.3">
      <c r="A638" t="s">
        <v>133</v>
      </c>
      <c r="B638">
        <f t="shared" si="15"/>
        <v>-1</v>
      </c>
    </row>
    <row r="639" spans="1:2" x14ac:dyDescent="0.3">
      <c r="A639" t="s">
        <v>133</v>
      </c>
      <c r="B639">
        <f t="shared" si="15"/>
        <v>-1</v>
      </c>
    </row>
    <row r="640" spans="1:2" x14ac:dyDescent="0.3">
      <c r="A640" t="s">
        <v>133</v>
      </c>
      <c r="B640">
        <f t="shared" si="15"/>
        <v>-1</v>
      </c>
    </row>
    <row r="641" spans="1:2" x14ac:dyDescent="0.3">
      <c r="A641" t="s">
        <v>133</v>
      </c>
      <c r="B641">
        <f t="shared" si="15"/>
        <v>-1</v>
      </c>
    </row>
    <row r="642" spans="1:2" x14ac:dyDescent="0.3">
      <c r="A642" t="s">
        <v>133</v>
      </c>
      <c r="B642">
        <f t="shared" ref="B642:B705" si="16">-A642</f>
        <v>-1</v>
      </c>
    </row>
    <row r="643" spans="1:2" x14ac:dyDescent="0.3">
      <c r="A643" t="s">
        <v>133</v>
      </c>
      <c r="B643">
        <f t="shared" si="16"/>
        <v>-1</v>
      </c>
    </row>
    <row r="644" spans="1:2" x14ac:dyDescent="0.3">
      <c r="A644" t="s">
        <v>133</v>
      </c>
      <c r="B644">
        <f t="shared" si="16"/>
        <v>-1</v>
      </c>
    </row>
    <row r="645" spans="1:2" x14ac:dyDescent="0.3">
      <c r="A645" t="s">
        <v>133</v>
      </c>
      <c r="B645">
        <f t="shared" si="16"/>
        <v>-1</v>
      </c>
    </row>
    <row r="646" spans="1:2" x14ac:dyDescent="0.3">
      <c r="A646" t="s">
        <v>133</v>
      </c>
      <c r="B646">
        <f t="shared" si="16"/>
        <v>-1</v>
      </c>
    </row>
    <row r="647" spans="1:2" x14ac:dyDescent="0.3">
      <c r="A647" t="s">
        <v>133</v>
      </c>
      <c r="B647">
        <f t="shared" si="16"/>
        <v>-1</v>
      </c>
    </row>
    <row r="648" spans="1:2" x14ac:dyDescent="0.3">
      <c r="A648" t="s">
        <v>133</v>
      </c>
      <c r="B648">
        <f t="shared" si="16"/>
        <v>-1</v>
      </c>
    </row>
    <row r="649" spans="1:2" x14ac:dyDescent="0.3">
      <c r="A649" t="s">
        <v>133</v>
      </c>
      <c r="B649">
        <f t="shared" si="16"/>
        <v>-1</v>
      </c>
    </row>
    <row r="650" spans="1:2" x14ac:dyDescent="0.3">
      <c r="A650" t="s">
        <v>134</v>
      </c>
      <c r="B650">
        <f t="shared" si="16"/>
        <v>-2</v>
      </c>
    </row>
    <row r="651" spans="1:2" x14ac:dyDescent="0.3">
      <c r="A651" t="s">
        <v>133</v>
      </c>
      <c r="B651">
        <f t="shared" si="16"/>
        <v>-1</v>
      </c>
    </row>
    <row r="652" spans="1:2" x14ac:dyDescent="0.3">
      <c r="A652" t="s">
        <v>133</v>
      </c>
      <c r="B652">
        <f t="shared" si="16"/>
        <v>-1</v>
      </c>
    </row>
    <row r="653" spans="1:2" x14ac:dyDescent="0.3">
      <c r="A653" t="s">
        <v>133</v>
      </c>
      <c r="B653">
        <f t="shared" si="16"/>
        <v>-1</v>
      </c>
    </row>
    <row r="654" spans="1:2" x14ac:dyDescent="0.3">
      <c r="A654" t="s">
        <v>133</v>
      </c>
      <c r="B654">
        <f t="shared" si="16"/>
        <v>-1</v>
      </c>
    </row>
    <row r="655" spans="1:2" x14ac:dyDescent="0.3">
      <c r="A655" t="s">
        <v>133</v>
      </c>
      <c r="B655">
        <f t="shared" si="16"/>
        <v>-1</v>
      </c>
    </row>
    <row r="656" spans="1:2" x14ac:dyDescent="0.3">
      <c r="A656" t="s">
        <v>133</v>
      </c>
      <c r="B656">
        <f t="shared" si="16"/>
        <v>-1</v>
      </c>
    </row>
    <row r="657" spans="1:2" x14ac:dyDescent="0.3">
      <c r="A657" t="s">
        <v>133</v>
      </c>
      <c r="B657">
        <f t="shared" si="16"/>
        <v>-1</v>
      </c>
    </row>
    <row r="658" spans="1:2" x14ac:dyDescent="0.3">
      <c r="A658" t="s">
        <v>133</v>
      </c>
      <c r="B658">
        <f t="shared" si="16"/>
        <v>-1</v>
      </c>
    </row>
    <row r="659" spans="1:2" x14ac:dyDescent="0.3">
      <c r="A659" t="s">
        <v>133</v>
      </c>
      <c r="B659">
        <f t="shared" si="16"/>
        <v>-1</v>
      </c>
    </row>
    <row r="660" spans="1:2" x14ac:dyDescent="0.3">
      <c r="A660" t="s">
        <v>133</v>
      </c>
      <c r="B660">
        <f t="shared" si="16"/>
        <v>-1</v>
      </c>
    </row>
    <row r="661" spans="1:2" x14ac:dyDescent="0.3">
      <c r="A661" t="s">
        <v>133</v>
      </c>
      <c r="B661">
        <f t="shared" si="16"/>
        <v>-1</v>
      </c>
    </row>
    <row r="662" spans="1:2" x14ac:dyDescent="0.3">
      <c r="A662" t="s">
        <v>133</v>
      </c>
      <c r="B662">
        <f t="shared" si="16"/>
        <v>-1</v>
      </c>
    </row>
    <row r="663" spans="1:2" x14ac:dyDescent="0.3">
      <c r="A663" t="s">
        <v>133</v>
      </c>
      <c r="B663">
        <f t="shared" si="16"/>
        <v>-1</v>
      </c>
    </row>
    <row r="664" spans="1:2" x14ac:dyDescent="0.3">
      <c r="A664" t="s">
        <v>133</v>
      </c>
      <c r="B664">
        <f t="shared" si="16"/>
        <v>-1</v>
      </c>
    </row>
    <row r="665" spans="1:2" x14ac:dyDescent="0.3">
      <c r="A665" t="s">
        <v>133</v>
      </c>
      <c r="B665">
        <f t="shared" si="16"/>
        <v>-1</v>
      </c>
    </row>
    <row r="666" spans="1:2" x14ac:dyDescent="0.3">
      <c r="A666" t="s">
        <v>133</v>
      </c>
      <c r="B666">
        <f t="shared" si="16"/>
        <v>-1</v>
      </c>
    </row>
    <row r="667" spans="1:2" x14ac:dyDescent="0.3">
      <c r="A667" t="s">
        <v>133</v>
      </c>
      <c r="B667">
        <f t="shared" si="16"/>
        <v>-1</v>
      </c>
    </row>
    <row r="668" spans="1:2" x14ac:dyDescent="0.3">
      <c r="A668" t="s">
        <v>133</v>
      </c>
      <c r="B668">
        <f t="shared" si="16"/>
        <v>-1</v>
      </c>
    </row>
    <row r="669" spans="1:2" x14ac:dyDescent="0.3">
      <c r="A669" t="s">
        <v>133</v>
      </c>
      <c r="B669">
        <f t="shared" si="16"/>
        <v>-1</v>
      </c>
    </row>
    <row r="670" spans="1:2" x14ac:dyDescent="0.3">
      <c r="A670" t="s">
        <v>133</v>
      </c>
      <c r="B670">
        <f t="shared" si="16"/>
        <v>-1</v>
      </c>
    </row>
    <row r="671" spans="1:2" x14ac:dyDescent="0.3">
      <c r="A671" t="s">
        <v>133</v>
      </c>
      <c r="B671">
        <f t="shared" si="16"/>
        <v>-1</v>
      </c>
    </row>
    <row r="672" spans="1:2" x14ac:dyDescent="0.3">
      <c r="A672" t="s">
        <v>133</v>
      </c>
      <c r="B672">
        <f t="shared" si="16"/>
        <v>-1</v>
      </c>
    </row>
    <row r="673" spans="1:2" x14ac:dyDescent="0.3">
      <c r="A673" t="s">
        <v>133</v>
      </c>
      <c r="B673">
        <f t="shared" si="16"/>
        <v>-1</v>
      </c>
    </row>
    <row r="674" spans="1:2" x14ac:dyDescent="0.3">
      <c r="A674" t="s">
        <v>133</v>
      </c>
      <c r="B674">
        <f t="shared" si="16"/>
        <v>-1</v>
      </c>
    </row>
    <row r="675" spans="1:2" x14ac:dyDescent="0.3">
      <c r="A675" t="s">
        <v>133</v>
      </c>
      <c r="B675">
        <f t="shared" si="16"/>
        <v>-1</v>
      </c>
    </row>
    <row r="676" spans="1:2" x14ac:dyDescent="0.3">
      <c r="A676" t="s">
        <v>133</v>
      </c>
      <c r="B676">
        <f t="shared" si="16"/>
        <v>-1</v>
      </c>
    </row>
    <row r="677" spans="1:2" x14ac:dyDescent="0.3">
      <c r="A677" t="s">
        <v>133</v>
      </c>
      <c r="B677">
        <f t="shared" si="16"/>
        <v>-1</v>
      </c>
    </row>
    <row r="678" spans="1:2" x14ac:dyDescent="0.3">
      <c r="A678" t="s">
        <v>133</v>
      </c>
      <c r="B678">
        <f t="shared" si="16"/>
        <v>-1</v>
      </c>
    </row>
    <row r="679" spans="1:2" x14ac:dyDescent="0.3">
      <c r="A679" t="s">
        <v>133</v>
      </c>
      <c r="B679">
        <f t="shared" si="16"/>
        <v>-1</v>
      </c>
    </row>
    <row r="680" spans="1:2" x14ac:dyDescent="0.3">
      <c r="A680" t="s">
        <v>133</v>
      </c>
      <c r="B680">
        <f t="shared" si="16"/>
        <v>-1</v>
      </c>
    </row>
    <row r="681" spans="1:2" x14ac:dyDescent="0.3">
      <c r="A681" t="s">
        <v>133</v>
      </c>
      <c r="B681">
        <f t="shared" si="16"/>
        <v>-1</v>
      </c>
    </row>
    <row r="682" spans="1:2" x14ac:dyDescent="0.3">
      <c r="A682" t="s">
        <v>133</v>
      </c>
      <c r="B682">
        <f t="shared" si="16"/>
        <v>-1</v>
      </c>
    </row>
    <row r="683" spans="1:2" x14ac:dyDescent="0.3">
      <c r="A683" t="s">
        <v>133</v>
      </c>
      <c r="B683">
        <f t="shared" si="16"/>
        <v>-1</v>
      </c>
    </row>
    <row r="684" spans="1:2" x14ac:dyDescent="0.3">
      <c r="A684" t="s">
        <v>133</v>
      </c>
      <c r="B684">
        <f t="shared" si="16"/>
        <v>-1</v>
      </c>
    </row>
    <row r="685" spans="1:2" x14ac:dyDescent="0.3">
      <c r="A685" t="s">
        <v>133</v>
      </c>
      <c r="B685">
        <f t="shared" si="16"/>
        <v>-1</v>
      </c>
    </row>
    <row r="686" spans="1:2" x14ac:dyDescent="0.3">
      <c r="A686" t="s">
        <v>133</v>
      </c>
      <c r="B686">
        <f t="shared" si="16"/>
        <v>-1</v>
      </c>
    </row>
    <row r="687" spans="1:2" x14ac:dyDescent="0.3">
      <c r="A687" t="s">
        <v>133</v>
      </c>
      <c r="B687">
        <f t="shared" si="16"/>
        <v>-1</v>
      </c>
    </row>
    <row r="688" spans="1:2" x14ac:dyDescent="0.3">
      <c r="A688" t="s">
        <v>133</v>
      </c>
      <c r="B688">
        <f t="shared" si="16"/>
        <v>-1</v>
      </c>
    </row>
    <row r="689" spans="1:2" x14ac:dyDescent="0.3">
      <c r="A689" t="s">
        <v>133</v>
      </c>
      <c r="B689">
        <f t="shared" si="16"/>
        <v>-1</v>
      </c>
    </row>
    <row r="690" spans="1:2" x14ac:dyDescent="0.3">
      <c r="A690" t="s">
        <v>133</v>
      </c>
      <c r="B690">
        <f t="shared" si="16"/>
        <v>-1</v>
      </c>
    </row>
    <row r="691" spans="1:2" x14ac:dyDescent="0.3">
      <c r="A691" t="s">
        <v>133</v>
      </c>
      <c r="B691">
        <f t="shared" si="16"/>
        <v>-1</v>
      </c>
    </row>
    <row r="692" spans="1:2" x14ac:dyDescent="0.3">
      <c r="A692" t="s">
        <v>133</v>
      </c>
      <c r="B692">
        <f t="shared" si="16"/>
        <v>-1</v>
      </c>
    </row>
    <row r="693" spans="1:2" x14ac:dyDescent="0.3">
      <c r="A693" t="s">
        <v>133</v>
      </c>
      <c r="B693">
        <f t="shared" si="16"/>
        <v>-1</v>
      </c>
    </row>
    <row r="694" spans="1:2" x14ac:dyDescent="0.3">
      <c r="A694" t="s">
        <v>133</v>
      </c>
      <c r="B694">
        <f t="shared" si="16"/>
        <v>-1</v>
      </c>
    </row>
    <row r="695" spans="1:2" x14ac:dyDescent="0.3">
      <c r="A695" t="s">
        <v>133</v>
      </c>
      <c r="B695">
        <f t="shared" si="16"/>
        <v>-1</v>
      </c>
    </row>
    <row r="696" spans="1:2" x14ac:dyDescent="0.3">
      <c r="A696" t="s">
        <v>133</v>
      </c>
      <c r="B696">
        <f t="shared" si="16"/>
        <v>-1</v>
      </c>
    </row>
    <row r="697" spans="1:2" x14ac:dyDescent="0.3">
      <c r="A697" t="s">
        <v>133</v>
      </c>
      <c r="B697">
        <f t="shared" si="16"/>
        <v>-1</v>
      </c>
    </row>
    <row r="698" spans="1:2" x14ac:dyDescent="0.3">
      <c r="A698" t="s">
        <v>133</v>
      </c>
      <c r="B698">
        <f t="shared" si="16"/>
        <v>-1</v>
      </c>
    </row>
    <row r="699" spans="1:2" x14ac:dyDescent="0.3">
      <c r="A699" t="s">
        <v>133</v>
      </c>
      <c r="B699">
        <f t="shared" si="16"/>
        <v>-1</v>
      </c>
    </row>
    <row r="700" spans="1:2" x14ac:dyDescent="0.3">
      <c r="A700" t="s">
        <v>133</v>
      </c>
      <c r="B700">
        <f t="shared" si="16"/>
        <v>-1</v>
      </c>
    </row>
    <row r="701" spans="1:2" x14ac:dyDescent="0.3">
      <c r="A701" t="s">
        <v>133</v>
      </c>
      <c r="B701">
        <f t="shared" si="16"/>
        <v>-1</v>
      </c>
    </row>
    <row r="702" spans="1:2" x14ac:dyDescent="0.3">
      <c r="A702" t="s">
        <v>133</v>
      </c>
      <c r="B702">
        <f t="shared" si="16"/>
        <v>-1</v>
      </c>
    </row>
    <row r="703" spans="1:2" x14ac:dyDescent="0.3">
      <c r="A703" t="s">
        <v>133</v>
      </c>
      <c r="B703">
        <f t="shared" si="16"/>
        <v>-1</v>
      </c>
    </row>
    <row r="704" spans="1:2" x14ac:dyDescent="0.3">
      <c r="A704" t="s">
        <v>133</v>
      </c>
      <c r="B704">
        <f t="shared" si="16"/>
        <v>-1</v>
      </c>
    </row>
    <row r="705" spans="1:2" x14ac:dyDescent="0.3">
      <c r="A705" t="s">
        <v>133</v>
      </c>
      <c r="B705">
        <f t="shared" si="16"/>
        <v>-1</v>
      </c>
    </row>
    <row r="706" spans="1:2" x14ac:dyDescent="0.3">
      <c r="A706" t="s">
        <v>133</v>
      </c>
      <c r="B706">
        <f t="shared" ref="B706:B769" si="17">-A706</f>
        <v>-1</v>
      </c>
    </row>
    <row r="707" spans="1:2" x14ac:dyDescent="0.3">
      <c r="A707" t="s">
        <v>133</v>
      </c>
      <c r="B707">
        <f t="shared" si="17"/>
        <v>-1</v>
      </c>
    </row>
    <row r="708" spans="1:2" x14ac:dyDescent="0.3">
      <c r="A708" t="s">
        <v>133</v>
      </c>
      <c r="B708">
        <f t="shared" si="17"/>
        <v>-1</v>
      </c>
    </row>
    <row r="709" spans="1:2" x14ac:dyDescent="0.3">
      <c r="A709" t="s">
        <v>133</v>
      </c>
      <c r="B709">
        <f t="shared" si="17"/>
        <v>-1</v>
      </c>
    </row>
    <row r="710" spans="1:2" x14ac:dyDescent="0.3">
      <c r="A710" t="s">
        <v>133</v>
      </c>
      <c r="B710">
        <f t="shared" si="17"/>
        <v>-1</v>
      </c>
    </row>
    <row r="711" spans="1:2" x14ac:dyDescent="0.3">
      <c r="A711" t="s">
        <v>133</v>
      </c>
      <c r="B711">
        <f t="shared" si="17"/>
        <v>-1</v>
      </c>
    </row>
    <row r="712" spans="1:2" x14ac:dyDescent="0.3">
      <c r="A712" t="s">
        <v>134</v>
      </c>
      <c r="B712">
        <f t="shared" si="17"/>
        <v>-2</v>
      </c>
    </row>
    <row r="713" spans="1:2" x14ac:dyDescent="0.3">
      <c r="A713" t="s">
        <v>133</v>
      </c>
      <c r="B713">
        <f t="shared" si="17"/>
        <v>-1</v>
      </c>
    </row>
    <row r="714" spans="1:2" x14ac:dyDescent="0.3">
      <c r="A714" t="s">
        <v>133</v>
      </c>
      <c r="B714">
        <f t="shared" si="17"/>
        <v>-1</v>
      </c>
    </row>
    <row r="715" spans="1:2" x14ac:dyDescent="0.3">
      <c r="A715" t="s">
        <v>133</v>
      </c>
      <c r="B715">
        <f t="shared" si="17"/>
        <v>-1</v>
      </c>
    </row>
    <row r="716" spans="1:2" x14ac:dyDescent="0.3">
      <c r="A716" t="s">
        <v>133</v>
      </c>
      <c r="B716">
        <f t="shared" si="17"/>
        <v>-1</v>
      </c>
    </row>
    <row r="717" spans="1:2" x14ac:dyDescent="0.3">
      <c r="A717" t="s">
        <v>133</v>
      </c>
      <c r="B717">
        <f t="shared" si="17"/>
        <v>-1</v>
      </c>
    </row>
    <row r="718" spans="1:2" x14ac:dyDescent="0.3">
      <c r="A718" t="s">
        <v>133</v>
      </c>
      <c r="B718">
        <f t="shared" si="17"/>
        <v>-1</v>
      </c>
    </row>
    <row r="719" spans="1:2" x14ac:dyDescent="0.3">
      <c r="A719" t="s">
        <v>133</v>
      </c>
      <c r="B719">
        <f t="shared" si="17"/>
        <v>-1</v>
      </c>
    </row>
    <row r="720" spans="1:2" x14ac:dyDescent="0.3">
      <c r="A720" t="s">
        <v>134</v>
      </c>
      <c r="B720">
        <f t="shared" si="17"/>
        <v>-2</v>
      </c>
    </row>
    <row r="721" spans="1:2" x14ac:dyDescent="0.3">
      <c r="A721" t="s">
        <v>133</v>
      </c>
      <c r="B721">
        <f t="shared" si="17"/>
        <v>-1</v>
      </c>
    </row>
    <row r="722" spans="1:2" x14ac:dyDescent="0.3">
      <c r="A722" t="s">
        <v>133</v>
      </c>
      <c r="B722">
        <f t="shared" si="17"/>
        <v>-1</v>
      </c>
    </row>
    <row r="723" spans="1:2" x14ac:dyDescent="0.3">
      <c r="A723" t="s">
        <v>133</v>
      </c>
      <c r="B723">
        <f t="shared" si="17"/>
        <v>-1</v>
      </c>
    </row>
    <row r="724" spans="1:2" x14ac:dyDescent="0.3">
      <c r="A724" t="s">
        <v>133</v>
      </c>
      <c r="B724">
        <f t="shared" si="17"/>
        <v>-1</v>
      </c>
    </row>
    <row r="725" spans="1:2" x14ac:dyDescent="0.3">
      <c r="A725" t="s">
        <v>133</v>
      </c>
      <c r="B725">
        <f t="shared" si="17"/>
        <v>-1</v>
      </c>
    </row>
    <row r="726" spans="1:2" x14ac:dyDescent="0.3">
      <c r="A726" t="s">
        <v>133</v>
      </c>
      <c r="B726">
        <f t="shared" si="17"/>
        <v>-1</v>
      </c>
    </row>
    <row r="727" spans="1:2" x14ac:dyDescent="0.3">
      <c r="A727" t="s">
        <v>133</v>
      </c>
      <c r="B727">
        <f t="shared" si="17"/>
        <v>-1</v>
      </c>
    </row>
    <row r="728" spans="1:2" x14ac:dyDescent="0.3">
      <c r="A728" t="s">
        <v>133</v>
      </c>
      <c r="B728">
        <f t="shared" si="17"/>
        <v>-1</v>
      </c>
    </row>
    <row r="729" spans="1:2" x14ac:dyDescent="0.3">
      <c r="A729" t="s">
        <v>133</v>
      </c>
      <c r="B729">
        <f t="shared" si="17"/>
        <v>-1</v>
      </c>
    </row>
    <row r="730" spans="1:2" x14ac:dyDescent="0.3">
      <c r="A730" t="s">
        <v>133</v>
      </c>
      <c r="B730">
        <f t="shared" si="17"/>
        <v>-1</v>
      </c>
    </row>
    <row r="731" spans="1:2" x14ac:dyDescent="0.3">
      <c r="A731" t="s">
        <v>133</v>
      </c>
      <c r="B731">
        <f t="shared" si="17"/>
        <v>-1</v>
      </c>
    </row>
    <row r="732" spans="1:2" x14ac:dyDescent="0.3">
      <c r="A732" t="s">
        <v>133</v>
      </c>
      <c r="B732">
        <f t="shared" si="17"/>
        <v>-1</v>
      </c>
    </row>
    <row r="733" spans="1:2" x14ac:dyDescent="0.3">
      <c r="A733" t="s">
        <v>133</v>
      </c>
      <c r="B733">
        <f t="shared" si="17"/>
        <v>-1</v>
      </c>
    </row>
    <row r="734" spans="1:2" x14ac:dyDescent="0.3">
      <c r="A734" t="s">
        <v>133</v>
      </c>
      <c r="B734">
        <f t="shared" si="17"/>
        <v>-1</v>
      </c>
    </row>
    <row r="735" spans="1:2" x14ac:dyDescent="0.3">
      <c r="A735" t="s">
        <v>135</v>
      </c>
      <c r="B735">
        <f t="shared" si="17"/>
        <v>-3</v>
      </c>
    </row>
    <row r="736" spans="1:2" x14ac:dyDescent="0.3">
      <c r="A736" t="s">
        <v>133</v>
      </c>
      <c r="B736">
        <f t="shared" si="17"/>
        <v>-1</v>
      </c>
    </row>
    <row r="737" spans="1:2" x14ac:dyDescent="0.3">
      <c r="A737" t="s">
        <v>133</v>
      </c>
      <c r="B737">
        <f t="shared" si="17"/>
        <v>-1</v>
      </c>
    </row>
    <row r="738" spans="1:2" x14ac:dyDescent="0.3">
      <c r="A738" t="s">
        <v>133</v>
      </c>
      <c r="B738">
        <f t="shared" si="17"/>
        <v>-1</v>
      </c>
    </row>
    <row r="739" spans="1:2" x14ac:dyDescent="0.3">
      <c r="A739" t="s">
        <v>133</v>
      </c>
      <c r="B739">
        <f t="shared" si="17"/>
        <v>-1</v>
      </c>
    </row>
    <row r="740" spans="1:2" x14ac:dyDescent="0.3">
      <c r="A740" t="s">
        <v>133</v>
      </c>
      <c r="B740">
        <f t="shared" si="17"/>
        <v>-1</v>
      </c>
    </row>
    <row r="741" spans="1:2" x14ac:dyDescent="0.3">
      <c r="A741" t="s">
        <v>133</v>
      </c>
      <c r="B741">
        <f t="shared" si="17"/>
        <v>-1</v>
      </c>
    </row>
    <row r="742" spans="1:2" x14ac:dyDescent="0.3">
      <c r="A742" t="s">
        <v>133</v>
      </c>
      <c r="B742">
        <f t="shared" si="17"/>
        <v>-1</v>
      </c>
    </row>
    <row r="743" spans="1:2" x14ac:dyDescent="0.3">
      <c r="A743" t="s">
        <v>133</v>
      </c>
      <c r="B743">
        <f t="shared" si="17"/>
        <v>-1</v>
      </c>
    </row>
    <row r="744" spans="1:2" x14ac:dyDescent="0.3">
      <c r="A744" t="s">
        <v>133</v>
      </c>
      <c r="B744">
        <f t="shared" si="17"/>
        <v>-1</v>
      </c>
    </row>
    <row r="745" spans="1:2" x14ac:dyDescent="0.3">
      <c r="A745" t="s">
        <v>133</v>
      </c>
      <c r="B745">
        <f t="shared" si="17"/>
        <v>-1</v>
      </c>
    </row>
    <row r="746" spans="1:2" x14ac:dyDescent="0.3">
      <c r="A746" t="s">
        <v>133</v>
      </c>
      <c r="B746">
        <f t="shared" si="17"/>
        <v>-1</v>
      </c>
    </row>
    <row r="747" spans="1:2" x14ac:dyDescent="0.3">
      <c r="A747" t="s">
        <v>133</v>
      </c>
      <c r="B747">
        <f t="shared" si="17"/>
        <v>-1</v>
      </c>
    </row>
    <row r="748" spans="1:2" x14ac:dyDescent="0.3">
      <c r="A748" t="s">
        <v>133</v>
      </c>
      <c r="B748">
        <f t="shared" si="17"/>
        <v>-1</v>
      </c>
    </row>
    <row r="749" spans="1:2" x14ac:dyDescent="0.3">
      <c r="A749" t="s">
        <v>133</v>
      </c>
      <c r="B749">
        <f t="shared" si="17"/>
        <v>-1</v>
      </c>
    </row>
    <row r="750" spans="1:2" x14ac:dyDescent="0.3">
      <c r="A750" t="s">
        <v>133</v>
      </c>
      <c r="B750">
        <f t="shared" si="17"/>
        <v>-1</v>
      </c>
    </row>
    <row r="751" spans="1:2" x14ac:dyDescent="0.3">
      <c r="A751" t="s">
        <v>133</v>
      </c>
      <c r="B751">
        <f t="shared" si="17"/>
        <v>-1</v>
      </c>
    </row>
    <row r="752" spans="1:2" x14ac:dyDescent="0.3">
      <c r="A752" t="s">
        <v>133</v>
      </c>
      <c r="B752">
        <f t="shared" si="17"/>
        <v>-1</v>
      </c>
    </row>
    <row r="753" spans="1:2" x14ac:dyDescent="0.3">
      <c r="A753" t="s">
        <v>133</v>
      </c>
      <c r="B753">
        <f t="shared" si="17"/>
        <v>-1</v>
      </c>
    </row>
    <row r="754" spans="1:2" x14ac:dyDescent="0.3">
      <c r="A754" t="s">
        <v>133</v>
      </c>
      <c r="B754">
        <f t="shared" si="17"/>
        <v>-1</v>
      </c>
    </row>
    <row r="755" spans="1:2" x14ac:dyDescent="0.3">
      <c r="A755" t="s">
        <v>133</v>
      </c>
      <c r="B755">
        <f t="shared" si="17"/>
        <v>-1</v>
      </c>
    </row>
    <row r="756" spans="1:2" x14ac:dyDescent="0.3">
      <c r="A756" t="s">
        <v>133</v>
      </c>
      <c r="B756">
        <f t="shared" si="17"/>
        <v>-1</v>
      </c>
    </row>
    <row r="757" spans="1:2" x14ac:dyDescent="0.3">
      <c r="A757" t="s">
        <v>133</v>
      </c>
      <c r="B757">
        <f t="shared" si="17"/>
        <v>-1</v>
      </c>
    </row>
    <row r="758" spans="1:2" x14ac:dyDescent="0.3">
      <c r="A758" t="s">
        <v>133</v>
      </c>
      <c r="B758">
        <f t="shared" si="17"/>
        <v>-1</v>
      </c>
    </row>
    <row r="759" spans="1:2" x14ac:dyDescent="0.3">
      <c r="A759" t="s">
        <v>133</v>
      </c>
      <c r="B759">
        <f t="shared" si="17"/>
        <v>-1</v>
      </c>
    </row>
    <row r="760" spans="1:2" x14ac:dyDescent="0.3">
      <c r="A760" t="s">
        <v>133</v>
      </c>
      <c r="B760">
        <f t="shared" si="17"/>
        <v>-1</v>
      </c>
    </row>
    <row r="761" spans="1:2" x14ac:dyDescent="0.3">
      <c r="A761" t="s">
        <v>133</v>
      </c>
      <c r="B761">
        <f t="shared" si="17"/>
        <v>-1</v>
      </c>
    </row>
    <row r="762" spans="1:2" x14ac:dyDescent="0.3">
      <c r="A762" t="s">
        <v>133</v>
      </c>
      <c r="B762">
        <f t="shared" si="17"/>
        <v>-1</v>
      </c>
    </row>
    <row r="763" spans="1:2" x14ac:dyDescent="0.3">
      <c r="A763" t="s">
        <v>133</v>
      </c>
      <c r="B763">
        <f t="shared" si="17"/>
        <v>-1</v>
      </c>
    </row>
    <row r="764" spans="1:2" x14ac:dyDescent="0.3">
      <c r="A764" t="s">
        <v>133</v>
      </c>
      <c r="B764">
        <f t="shared" si="17"/>
        <v>-1</v>
      </c>
    </row>
    <row r="765" spans="1:2" x14ac:dyDescent="0.3">
      <c r="A765" t="s">
        <v>133</v>
      </c>
      <c r="B765">
        <f t="shared" si="17"/>
        <v>-1</v>
      </c>
    </row>
    <row r="766" spans="1:2" x14ac:dyDescent="0.3">
      <c r="A766" t="s">
        <v>133</v>
      </c>
      <c r="B766">
        <f t="shared" si="17"/>
        <v>-1</v>
      </c>
    </row>
    <row r="767" spans="1:2" x14ac:dyDescent="0.3">
      <c r="A767" t="s">
        <v>133</v>
      </c>
      <c r="B767">
        <f t="shared" si="17"/>
        <v>-1</v>
      </c>
    </row>
    <row r="768" spans="1:2" x14ac:dyDescent="0.3">
      <c r="A768" t="s">
        <v>133</v>
      </c>
      <c r="B768">
        <f t="shared" si="17"/>
        <v>-1</v>
      </c>
    </row>
    <row r="769" spans="1:2" x14ac:dyDescent="0.3">
      <c r="A769" t="s">
        <v>133</v>
      </c>
      <c r="B769">
        <f t="shared" si="17"/>
        <v>-1</v>
      </c>
    </row>
    <row r="770" spans="1:2" x14ac:dyDescent="0.3">
      <c r="A770" t="s">
        <v>133</v>
      </c>
      <c r="B770">
        <f t="shared" ref="B770:B833" si="18">-A770</f>
        <v>-1</v>
      </c>
    </row>
    <row r="771" spans="1:2" x14ac:dyDescent="0.3">
      <c r="A771" t="s">
        <v>133</v>
      </c>
      <c r="B771">
        <f t="shared" si="18"/>
        <v>-1</v>
      </c>
    </row>
    <row r="772" spans="1:2" x14ac:dyDescent="0.3">
      <c r="A772" t="s">
        <v>133</v>
      </c>
      <c r="B772">
        <f t="shared" si="18"/>
        <v>-1</v>
      </c>
    </row>
    <row r="773" spans="1:2" x14ac:dyDescent="0.3">
      <c r="A773" t="s">
        <v>133</v>
      </c>
      <c r="B773">
        <f t="shared" si="18"/>
        <v>-1</v>
      </c>
    </row>
    <row r="774" spans="1:2" x14ac:dyDescent="0.3">
      <c r="A774" t="s">
        <v>133</v>
      </c>
      <c r="B774">
        <f t="shared" si="18"/>
        <v>-1</v>
      </c>
    </row>
    <row r="775" spans="1:2" x14ac:dyDescent="0.3">
      <c r="A775" t="s">
        <v>133</v>
      </c>
      <c r="B775">
        <f t="shared" si="18"/>
        <v>-1</v>
      </c>
    </row>
    <row r="776" spans="1:2" x14ac:dyDescent="0.3">
      <c r="A776" t="s">
        <v>133</v>
      </c>
      <c r="B776">
        <f t="shared" si="18"/>
        <v>-1</v>
      </c>
    </row>
    <row r="777" spans="1:2" x14ac:dyDescent="0.3">
      <c r="A777" t="s">
        <v>133</v>
      </c>
      <c r="B777">
        <f t="shared" si="18"/>
        <v>-1</v>
      </c>
    </row>
    <row r="778" spans="1:2" x14ac:dyDescent="0.3">
      <c r="A778" t="s">
        <v>133</v>
      </c>
      <c r="B778">
        <f t="shared" si="18"/>
        <v>-1</v>
      </c>
    </row>
    <row r="779" spans="1:2" x14ac:dyDescent="0.3">
      <c r="A779" t="s">
        <v>133</v>
      </c>
      <c r="B779">
        <f t="shared" si="18"/>
        <v>-1</v>
      </c>
    </row>
    <row r="780" spans="1:2" x14ac:dyDescent="0.3">
      <c r="A780" t="s">
        <v>133</v>
      </c>
      <c r="B780">
        <f t="shared" si="18"/>
        <v>-1</v>
      </c>
    </row>
    <row r="781" spans="1:2" x14ac:dyDescent="0.3">
      <c r="A781" t="s">
        <v>133</v>
      </c>
      <c r="B781">
        <f t="shared" si="18"/>
        <v>-1</v>
      </c>
    </row>
    <row r="782" spans="1:2" x14ac:dyDescent="0.3">
      <c r="A782" t="s">
        <v>133</v>
      </c>
      <c r="B782">
        <f t="shared" si="18"/>
        <v>-1</v>
      </c>
    </row>
    <row r="783" spans="1:2" x14ac:dyDescent="0.3">
      <c r="A783" t="s">
        <v>133</v>
      </c>
      <c r="B783">
        <f t="shared" si="18"/>
        <v>-1</v>
      </c>
    </row>
    <row r="784" spans="1:2" x14ac:dyDescent="0.3">
      <c r="A784" t="s">
        <v>133</v>
      </c>
      <c r="B784">
        <f t="shared" si="18"/>
        <v>-1</v>
      </c>
    </row>
    <row r="785" spans="1:2" x14ac:dyDescent="0.3">
      <c r="A785" t="s">
        <v>133</v>
      </c>
      <c r="B785">
        <f t="shared" si="18"/>
        <v>-1</v>
      </c>
    </row>
    <row r="786" spans="1:2" x14ac:dyDescent="0.3">
      <c r="A786" t="s">
        <v>133</v>
      </c>
      <c r="B786">
        <f t="shared" si="18"/>
        <v>-1</v>
      </c>
    </row>
    <row r="787" spans="1:2" x14ac:dyDescent="0.3">
      <c r="A787" t="s">
        <v>133</v>
      </c>
      <c r="B787">
        <f t="shared" si="18"/>
        <v>-1</v>
      </c>
    </row>
    <row r="788" spans="1:2" x14ac:dyDescent="0.3">
      <c r="A788" t="s">
        <v>133</v>
      </c>
      <c r="B788">
        <f t="shared" si="18"/>
        <v>-1</v>
      </c>
    </row>
    <row r="789" spans="1:2" x14ac:dyDescent="0.3">
      <c r="A789" t="s">
        <v>133</v>
      </c>
      <c r="B789">
        <f t="shared" si="18"/>
        <v>-1</v>
      </c>
    </row>
    <row r="790" spans="1:2" x14ac:dyDescent="0.3">
      <c r="A790" t="s">
        <v>133</v>
      </c>
      <c r="B790">
        <f t="shared" si="18"/>
        <v>-1</v>
      </c>
    </row>
    <row r="791" spans="1:2" x14ac:dyDescent="0.3">
      <c r="A791" t="s">
        <v>133</v>
      </c>
      <c r="B791">
        <f t="shared" si="18"/>
        <v>-1</v>
      </c>
    </row>
    <row r="792" spans="1:2" x14ac:dyDescent="0.3">
      <c r="A792" t="s">
        <v>133</v>
      </c>
      <c r="B792">
        <f t="shared" si="18"/>
        <v>-1</v>
      </c>
    </row>
    <row r="793" spans="1:2" x14ac:dyDescent="0.3">
      <c r="A793" t="s">
        <v>133</v>
      </c>
      <c r="B793">
        <f t="shared" si="18"/>
        <v>-1</v>
      </c>
    </row>
    <row r="794" spans="1:2" x14ac:dyDescent="0.3">
      <c r="A794" t="s">
        <v>133</v>
      </c>
      <c r="B794">
        <f t="shared" si="18"/>
        <v>-1</v>
      </c>
    </row>
    <row r="795" spans="1:2" x14ac:dyDescent="0.3">
      <c r="A795" t="s">
        <v>133</v>
      </c>
      <c r="B795">
        <f t="shared" si="18"/>
        <v>-1</v>
      </c>
    </row>
    <row r="796" spans="1:2" x14ac:dyDescent="0.3">
      <c r="A796" t="s">
        <v>133</v>
      </c>
      <c r="B796">
        <f t="shared" si="18"/>
        <v>-1</v>
      </c>
    </row>
    <row r="797" spans="1:2" x14ac:dyDescent="0.3">
      <c r="A797" t="s">
        <v>133</v>
      </c>
      <c r="B797">
        <f t="shared" si="18"/>
        <v>-1</v>
      </c>
    </row>
    <row r="798" spans="1:2" x14ac:dyDescent="0.3">
      <c r="A798" t="s">
        <v>133</v>
      </c>
      <c r="B798">
        <f t="shared" si="18"/>
        <v>-1</v>
      </c>
    </row>
    <row r="799" spans="1:2" x14ac:dyDescent="0.3">
      <c r="A799" t="s">
        <v>133</v>
      </c>
      <c r="B799">
        <f t="shared" si="18"/>
        <v>-1</v>
      </c>
    </row>
    <row r="800" spans="1:2" x14ac:dyDescent="0.3">
      <c r="A800" t="s">
        <v>133</v>
      </c>
      <c r="B800">
        <f t="shared" si="18"/>
        <v>-1</v>
      </c>
    </row>
    <row r="801" spans="1:2" x14ac:dyDescent="0.3">
      <c r="A801" t="s">
        <v>133</v>
      </c>
      <c r="B801">
        <f t="shared" si="18"/>
        <v>-1</v>
      </c>
    </row>
    <row r="802" spans="1:2" x14ac:dyDescent="0.3">
      <c r="A802" t="s">
        <v>133</v>
      </c>
      <c r="B802">
        <f t="shared" si="18"/>
        <v>-1</v>
      </c>
    </row>
    <row r="803" spans="1:2" x14ac:dyDescent="0.3">
      <c r="A803" t="s">
        <v>133</v>
      </c>
      <c r="B803">
        <f t="shared" si="18"/>
        <v>-1</v>
      </c>
    </row>
    <row r="804" spans="1:2" x14ac:dyDescent="0.3">
      <c r="A804" t="s">
        <v>133</v>
      </c>
      <c r="B804">
        <f t="shared" si="18"/>
        <v>-1</v>
      </c>
    </row>
    <row r="805" spans="1:2" x14ac:dyDescent="0.3">
      <c r="A805" t="s">
        <v>133</v>
      </c>
      <c r="B805">
        <f t="shared" si="18"/>
        <v>-1</v>
      </c>
    </row>
    <row r="806" spans="1:2" x14ac:dyDescent="0.3">
      <c r="A806" t="s">
        <v>133</v>
      </c>
      <c r="B806">
        <f t="shared" si="18"/>
        <v>-1</v>
      </c>
    </row>
    <row r="807" spans="1:2" x14ac:dyDescent="0.3">
      <c r="A807" t="s">
        <v>133</v>
      </c>
      <c r="B807">
        <f t="shared" si="18"/>
        <v>-1</v>
      </c>
    </row>
    <row r="808" spans="1:2" x14ac:dyDescent="0.3">
      <c r="A808" t="s">
        <v>133</v>
      </c>
      <c r="B808">
        <f t="shared" si="18"/>
        <v>-1</v>
      </c>
    </row>
    <row r="809" spans="1:2" x14ac:dyDescent="0.3">
      <c r="A809" t="s">
        <v>133</v>
      </c>
      <c r="B809">
        <f t="shared" si="18"/>
        <v>-1</v>
      </c>
    </row>
    <row r="810" spans="1:2" x14ac:dyDescent="0.3">
      <c r="A810" t="s">
        <v>133</v>
      </c>
      <c r="B810">
        <f t="shared" si="18"/>
        <v>-1</v>
      </c>
    </row>
    <row r="811" spans="1:2" x14ac:dyDescent="0.3">
      <c r="A811" t="s">
        <v>133</v>
      </c>
      <c r="B811">
        <f t="shared" si="18"/>
        <v>-1</v>
      </c>
    </row>
    <row r="812" spans="1:2" x14ac:dyDescent="0.3">
      <c r="A812" t="s">
        <v>133</v>
      </c>
      <c r="B812">
        <f t="shared" si="18"/>
        <v>-1</v>
      </c>
    </row>
    <row r="813" spans="1:2" x14ac:dyDescent="0.3">
      <c r="A813" t="s">
        <v>133</v>
      </c>
      <c r="B813">
        <f t="shared" si="18"/>
        <v>-1</v>
      </c>
    </row>
    <row r="814" spans="1:2" x14ac:dyDescent="0.3">
      <c r="A814" t="s">
        <v>133</v>
      </c>
      <c r="B814">
        <f t="shared" si="18"/>
        <v>-1</v>
      </c>
    </row>
    <row r="815" spans="1:2" x14ac:dyDescent="0.3">
      <c r="A815" t="s">
        <v>133</v>
      </c>
      <c r="B815">
        <f t="shared" si="18"/>
        <v>-1</v>
      </c>
    </row>
    <row r="816" spans="1:2" x14ac:dyDescent="0.3">
      <c r="A816" t="s">
        <v>133</v>
      </c>
      <c r="B816">
        <f t="shared" si="18"/>
        <v>-1</v>
      </c>
    </row>
    <row r="817" spans="1:2" x14ac:dyDescent="0.3">
      <c r="A817" t="s">
        <v>133</v>
      </c>
      <c r="B817">
        <f t="shared" si="18"/>
        <v>-1</v>
      </c>
    </row>
    <row r="818" spans="1:2" x14ac:dyDescent="0.3">
      <c r="A818" t="s">
        <v>133</v>
      </c>
      <c r="B818">
        <f t="shared" si="18"/>
        <v>-1</v>
      </c>
    </row>
    <row r="819" spans="1:2" x14ac:dyDescent="0.3">
      <c r="A819" t="s">
        <v>133</v>
      </c>
      <c r="B819">
        <f t="shared" si="18"/>
        <v>-1</v>
      </c>
    </row>
    <row r="820" spans="1:2" x14ac:dyDescent="0.3">
      <c r="A820" t="s">
        <v>133</v>
      </c>
      <c r="B820">
        <f t="shared" si="18"/>
        <v>-1</v>
      </c>
    </row>
    <row r="821" spans="1:2" x14ac:dyDescent="0.3">
      <c r="A821" t="s">
        <v>133</v>
      </c>
      <c r="B821">
        <f t="shared" si="18"/>
        <v>-1</v>
      </c>
    </row>
    <row r="822" spans="1:2" x14ac:dyDescent="0.3">
      <c r="A822" t="s">
        <v>133</v>
      </c>
      <c r="B822">
        <f t="shared" si="18"/>
        <v>-1</v>
      </c>
    </row>
    <row r="823" spans="1:2" x14ac:dyDescent="0.3">
      <c r="A823" t="s">
        <v>133</v>
      </c>
      <c r="B823">
        <f t="shared" si="18"/>
        <v>-1</v>
      </c>
    </row>
    <row r="824" spans="1:2" x14ac:dyDescent="0.3">
      <c r="A824" t="s">
        <v>133</v>
      </c>
      <c r="B824">
        <f t="shared" si="18"/>
        <v>-1</v>
      </c>
    </row>
    <row r="825" spans="1:2" x14ac:dyDescent="0.3">
      <c r="A825" t="s">
        <v>133</v>
      </c>
      <c r="B825">
        <f t="shared" si="18"/>
        <v>-1</v>
      </c>
    </row>
    <row r="826" spans="1:2" x14ac:dyDescent="0.3">
      <c r="A826" t="s">
        <v>133</v>
      </c>
      <c r="B826">
        <f t="shared" si="18"/>
        <v>-1</v>
      </c>
    </row>
    <row r="827" spans="1:2" x14ac:dyDescent="0.3">
      <c r="A827" t="s">
        <v>133</v>
      </c>
      <c r="B827">
        <f t="shared" si="18"/>
        <v>-1</v>
      </c>
    </row>
    <row r="828" spans="1:2" x14ac:dyDescent="0.3">
      <c r="A828" t="s">
        <v>133</v>
      </c>
      <c r="B828">
        <f t="shared" si="18"/>
        <v>-1</v>
      </c>
    </row>
    <row r="829" spans="1:2" x14ac:dyDescent="0.3">
      <c r="A829" t="s">
        <v>133</v>
      </c>
      <c r="B829">
        <f t="shared" si="18"/>
        <v>-1</v>
      </c>
    </row>
    <row r="830" spans="1:2" x14ac:dyDescent="0.3">
      <c r="A830" t="s">
        <v>133</v>
      </c>
      <c r="B830">
        <f t="shared" si="18"/>
        <v>-1</v>
      </c>
    </row>
    <row r="831" spans="1:2" x14ac:dyDescent="0.3">
      <c r="A831" t="s">
        <v>133</v>
      </c>
      <c r="B831">
        <f t="shared" si="18"/>
        <v>-1</v>
      </c>
    </row>
    <row r="832" spans="1:2" x14ac:dyDescent="0.3">
      <c r="A832" t="s">
        <v>133</v>
      </c>
      <c r="B832">
        <f t="shared" si="18"/>
        <v>-1</v>
      </c>
    </row>
    <row r="833" spans="1:2" x14ac:dyDescent="0.3">
      <c r="A833" t="s">
        <v>133</v>
      </c>
      <c r="B833">
        <f t="shared" si="18"/>
        <v>-1</v>
      </c>
    </row>
    <row r="834" spans="1:2" x14ac:dyDescent="0.3">
      <c r="A834" t="s">
        <v>133</v>
      </c>
      <c r="B834">
        <f t="shared" ref="B834:B897" si="19">-A834</f>
        <v>-1</v>
      </c>
    </row>
    <row r="835" spans="1:2" x14ac:dyDescent="0.3">
      <c r="A835" t="s">
        <v>133</v>
      </c>
      <c r="B835">
        <f t="shared" si="19"/>
        <v>-1</v>
      </c>
    </row>
    <row r="836" spans="1:2" x14ac:dyDescent="0.3">
      <c r="A836" t="s">
        <v>133</v>
      </c>
      <c r="B836">
        <f t="shared" si="19"/>
        <v>-1</v>
      </c>
    </row>
    <row r="837" spans="1:2" x14ac:dyDescent="0.3">
      <c r="A837" t="s">
        <v>133</v>
      </c>
      <c r="B837">
        <f t="shared" si="19"/>
        <v>-1</v>
      </c>
    </row>
    <row r="838" spans="1:2" x14ac:dyDescent="0.3">
      <c r="A838" t="s">
        <v>133</v>
      </c>
      <c r="B838">
        <f t="shared" si="19"/>
        <v>-1</v>
      </c>
    </row>
    <row r="839" spans="1:2" x14ac:dyDescent="0.3">
      <c r="A839" t="s">
        <v>133</v>
      </c>
      <c r="B839">
        <f t="shared" si="19"/>
        <v>-1</v>
      </c>
    </row>
    <row r="840" spans="1:2" x14ac:dyDescent="0.3">
      <c r="A840" t="s">
        <v>133</v>
      </c>
      <c r="B840">
        <f t="shared" si="19"/>
        <v>-1</v>
      </c>
    </row>
    <row r="841" spans="1:2" x14ac:dyDescent="0.3">
      <c r="A841" t="s">
        <v>133</v>
      </c>
      <c r="B841">
        <f t="shared" si="19"/>
        <v>-1</v>
      </c>
    </row>
    <row r="842" spans="1:2" x14ac:dyDescent="0.3">
      <c r="A842" t="s">
        <v>133</v>
      </c>
      <c r="B842">
        <f t="shared" si="19"/>
        <v>-1</v>
      </c>
    </row>
    <row r="843" spans="1:2" x14ac:dyDescent="0.3">
      <c r="A843" t="s">
        <v>133</v>
      </c>
      <c r="B843">
        <f t="shared" si="19"/>
        <v>-1</v>
      </c>
    </row>
    <row r="844" spans="1:2" x14ac:dyDescent="0.3">
      <c r="A844" t="s">
        <v>133</v>
      </c>
      <c r="B844">
        <f t="shared" si="19"/>
        <v>-1</v>
      </c>
    </row>
    <row r="845" spans="1:2" x14ac:dyDescent="0.3">
      <c r="A845" t="s">
        <v>133</v>
      </c>
      <c r="B845">
        <f t="shared" si="19"/>
        <v>-1</v>
      </c>
    </row>
    <row r="846" spans="1:2" x14ac:dyDescent="0.3">
      <c r="A846" t="s">
        <v>133</v>
      </c>
      <c r="B846">
        <f t="shared" si="19"/>
        <v>-1</v>
      </c>
    </row>
    <row r="847" spans="1:2" x14ac:dyDescent="0.3">
      <c r="A847" t="s">
        <v>133</v>
      </c>
      <c r="B847">
        <f t="shared" si="19"/>
        <v>-1</v>
      </c>
    </row>
    <row r="848" spans="1:2" x14ac:dyDescent="0.3">
      <c r="A848" t="s">
        <v>133</v>
      </c>
      <c r="B848">
        <f t="shared" si="19"/>
        <v>-1</v>
      </c>
    </row>
    <row r="849" spans="1:2" x14ac:dyDescent="0.3">
      <c r="A849" t="s">
        <v>133</v>
      </c>
      <c r="B849">
        <f t="shared" si="19"/>
        <v>-1</v>
      </c>
    </row>
    <row r="850" spans="1:2" x14ac:dyDescent="0.3">
      <c r="A850" t="s">
        <v>133</v>
      </c>
      <c r="B850">
        <f t="shared" si="19"/>
        <v>-1</v>
      </c>
    </row>
    <row r="851" spans="1:2" x14ac:dyDescent="0.3">
      <c r="A851" t="s">
        <v>133</v>
      </c>
      <c r="B851">
        <f t="shared" si="19"/>
        <v>-1</v>
      </c>
    </row>
    <row r="852" spans="1:2" x14ac:dyDescent="0.3">
      <c r="A852" t="s">
        <v>133</v>
      </c>
      <c r="B852">
        <f t="shared" si="19"/>
        <v>-1</v>
      </c>
    </row>
    <row r="853" spans="1:2" x14ac:dyDescent="0.3">
      <c r="A853" t="s">
        <v>133</v>
      </c>
      <c r="B853">
        <f t="shared" si="19"/>
        <v>-1</v>
      </c>
    </row>
    <row r="854" spans="1:2" x14ac:dyDescent="0.3">
      <c r="A854" t="s">
        <v>133</v>
      </c>
      <c r="B854">
        <f t="shared" si="19"/>
        <v>-1</v>
      </c>
    </row>
    <row r="855" spans="1:2" x14ac:dyDescent="0.3">
      <c r="A855" t="s">
        <v>133</v>
      </c>
      <c r="B855">
        <f t="shared" si="19"/>
        <v>-1</v>
      </c>
    </row>
    <row r="856" spans="1:2" x14ac:dyDescent="0.3">
      <c r="A856" t="s">
        <v>133</v>
      </c>
      <c r="B856">
        <f t="shared" si="19"/>
        <v>-1</v>
      </c>
    </row>
    <row r="857" spans="1:2" x14ac:dyDescent="0.3">
      <c r="A857" t="s">
        <v>133</v>
      </c>
      <c r="B857">
        <f t="shared" si="19"/>
        <v>-1</v>
      </c>
    </row>
    <row r="858" spans="1:2" x14ac:dyDescent="0.3">
      <c r="A858" t="s">
        <v>133</v>
      </c>
      <c r="B858">
        <f t="shared" si="19"/>
        <v>-1</v>
      </c>
    </row>
    <row r="859" spans="1:2" x14ac:dyDescent="0.3">
      <c r="A859" t="s">
        <v>133</v>
      </c>
      <c r="B859">
        <f t="shared" si="19"/>
        <v>-1</v>
      </c>
    </row>
    <row r="860" spans="1:2" x14ac:dyDescent="0.3">
      <c r="A860" t="s">
        <v>133</v>
      </c>
      <c r="B860">
        <f t="shared" si="19"/>
        <v>-1</v>
      </c>
    </row>
    <row r="861" spans="1:2" x14ac:dyDescent="0.3">
      <c r="A861" t="s">
        <v>133</v>
      </c>
      <c r="B861">
        <f t="shared" si="19"/>
        <v>-1</v>
      </c>
    </row>
    <row r="862" spans="1:2" x14ac:dyDescent="0.3">
      <c r="A862" t="s">
        <v>133</v>
      </c>
      <c r="B862">
        <f t="shared" si="19"/>
        <v>-1</v>
      </c>
    </row>
    <row r="863" spans="1:2" x14ac:dyDescent="0.3">
      <c r="A863" t="s">
        <v>133</v>
      </c>
      <c r="B863">
        <f t="shared" si="19"/>
        <v>-1</v>
      </c>
    </row>
    <row r="864" spans="1:2" x14ac:dyDescent="0.3">
      <c r="A864" t="s">
        <v>133</v>
      </c>
      <c r="B864">
        <f t="shared" si="19"/>
        <v>-1</v>
      </c>
    </row>
    <row r="865" spans="1:2" x14ac:dyDescent="0.3">
      <c r="A865" t="s">
        <v>133</v>
      </c>
      <c r="B865">
        <f t="shared" si="19"/>
        <v>-1</v>
      </c>
    </row>
    <row r="866" spans="1:2" x14ac:dyDescent="0.3">
      <c r="A866" t="s">
        <v>133</v>
      </c>
      <c r="B866">
        <f t="shared" si="19"/>
        <v>-1</v>
      </c>
    </row>
    <row r="867" spans="1:2" x14ac:dyDescent="0.3">
      <c r="A867" t="s">
        <v>133</v>
      </c>
      <c r="B867">
        <f t="shared" si="19"/>
        <v>-1</v>
      </c>
    </row>
    <row r="868" spans="1:2" x14ac:dyDescent="0.3">
      <c r="A868" t="s">
        <v>133</v>
      </c>
      <c r="B868">
        <f t="shared" si="19"/>
        <v>-1</v>
      </c>
    </row>
    <row r="869" spans="1:2" x14ac:dyDescent="0.3">
      <c r="A869" t="s">
        <v>133</v>
      </c>
      <c r="B869">
        <f t="shared" si="19"/>
        <v>-1</v>
      </c>
    </row>
    <row r="870" spans="1:2" x14ac:dyDescent="0.3">
      <c r="A870" t="s">
        <v>133</v>
      </c>
      <c r="B870">
        <f t="shared" si="19"/>
        <v>-1</v>
      </c>
    </row>
    <row r="871" spans="1:2" x14ac:dyDescent="0.3">
      <c r="A871" t="s">
        <v>133</v>
      </c>
      <c r="B871">
        <f t="shared" si="19"/>
        <v>-1</v>
      </c>
    </row>
    <row r="872" spans="1:2" x14ac:dyDescent="0.3">
      <c r="A872" t="s">
        <v>133</v>
      </c>
      <c r="B872">
        <f t="shared" si="19"/>
        <v>-1</v>
      </c>
    </row>
    <row r="873" spans="1:2" x14ac:dyDescent="0.3">
      <c r="A873" t="s">
        <v>133</v>
      </c>
      <c r="B873">
        <f t="shared" si="19"/>
        <v>-1</v>
      </c>
    </row>
    <row r="874" spans="1:2" x14ac:dyDescent="0.3">
      <c r="A874" t="s">
        <v>133</v>
      </c>
      <c r="B874">
        <f t="shared" si="19"/>
        <v>-1</v>
      </c>
    </row>
    <row r="875" spans="1:2" x14ac:dyDescent="0.3">
      <c r="A875" t="s">
        <v>133</v>
      </c>
      <c r="B875">
        <f t="shared" si="19"/>
        <v>-1</v>
      </c>
    </row>
    <row r="876" spans="1:2" x14ac:dyDescent="0.3">
      <c r="A876" t="s">
        <v>133</v>
      </c>
      <c r="B876">
        <f t="shared" si="19"/>
        <v>-1</v>
      </c>
    </row>
    <row r="877" spans="1:2" x14ac:dyDescent="0.3">
      <c r="A877" t="s">
        <v>133</v>
      </c>
      <c r="B877">
        <f t="shared" si="19"/>
        <v>-1</v>
      </c>
    </row>
    <row r="878" spans="1:2" x14ac:dyDescent="0.3">
      <c r="A878" t="s">
        <v>133</v>
      </c>
      <c r="B878">
        <f t="shared" si="19"/>
        <v>-1</v>
      </c>
    </row>
    <row r="879" spans="1:2" x14ac:dyDescent="0.3">
      <c r="A879" t="s">
        <v>133</v>
      </c>
      <c r="B879">
        <f t="shared" si="19"/>
        <v>-1</v>
      </c>
    </row>
    <row r="880" spans="1:2" x14ac:dyDescent="0.3">
      <c r="A880" t="s">
        <v>133</v>
      </c>
      <c r="B880">
        <f t="shared" si="19"/>
        <v>-1</v>
      </c>
    </row>
    <row r="881" spans="1:2" x14ac:dyDescent="0.3">
      <c r="A881" t="s">
        <v>133</v>
      </c>
      <c r="B881">
        <f t="shared" si="19"/>
        <v>-1</v>
      </c>
    </row>
    <row r="882" spans="1:2" x14ac:dyDescent="0.3">
      <c r="A882" t="s">
        <v>133</v>
      </c>
      <c r="B882">
        <f t="shared" si="19"/>
        <v>-1</v>
      </c>
    </row>
    <row r="883" spans="1:2" x14ac:dyDescent="0.3">
      <c r="A883" t="s">
        <v>133</v>
      </c>
      <c r="B883">
        <f t="shared" si="19"/>
        <v>-1</v>
      </c>
    </row>
    <row r="884" spans="1:2" x14ac:dyDescent="0.3">
      <c r="A884" t="s">
        <v>133</v>
      </c>
      <c r="B884">
        <f t="shared" si="19"/>
        <v>-1</v>
      </c>
    </row>
    <row r="885" spans="1:2" x14ac:dyDescent="0.3">
      <c r="A885" t="s">
        <v>133</v>
      </c>
      <c r="B885">
        <f t="shared" si="19"/>
        <v>-1</v>
      </c>
    </row>
    <row r="886" spans="1:2" x14ac:dyDescent="0.3">
      <c r="A886" t="s">
        <v>133</v>
      </c>
      <c r="B886">
        <f t="shared" si="19"/>
        <v>-1</v>
      </c>
    </row>
    <row r="887" spans="1:2" x14ac:dyDescent="0.3">
      <c r="A887" t="s">
        <v>133</v>
      </c>
      <c r="B887">
        <f t="shared" si="19"/>
        <v>-1</v>
      </c>
    </row>
    <row r="888" spans="1:2" x14ac:dyDescent="0.3">
      <c r="A888" t="s">
        <v>133</v>
      </c>
      <c r="B888">
        <f t="shared" si="19"/>
        <v>-1</v>
      </c>
    </row>
    <row r="889" spans="1:2" x14ac:dyDescent="0.3">
      <c r="A889" t="s">
        <v>133</v>
      </c>
      <c r="B889">
        <f t="shared" si="19"/>
        <v>-1</v>
      </c>
    </row>
    <row r="890" spans="1:2" x14ac:dyDescent="0.3">
      <c r="A890" t="s">
        <v>133</v>
      </c>
      <c r="B890">
        <f t="shared" si="19"/>
        <v>-1</v>
      </c>
    </row>
    <row r="891" spans="1:2" x14ac:dyDescent="0.3">
      <c r="A891" t="s">
        <v>133</v>
      </c>
      <c r="B891">
        <f t="shared" si="19"/>
        <v>-1</v>
      </c>
    </row>
    <row r="892" spans="1:2" x14ac:dyDescent="0.3">
      <c r="A892" t="s">
        <v>133</v>
      </c>
      <c r="B892">
        <f t="shared" si="19"/>
        <v>-1</v>
      </c>
    </row>
    <row r="893" spans="1:2" x14ac:dyDescent="0.3">
      <c r="A893" t="s">
        <v>133</v>
      </c>
      <c r="B893">
        <f t="shared" si="19"/>
        <v>-1</v>
      </c>
    </row>
    <row r="894" spans="1:2" x14ac:dyDescent="0.3">
      <c r="A894" t="s">
        <v>133</v>
      </c>
      <c r="B894">
        <f t="shared" si="19"/>
        <v>-1</v>
      </c>
    </row>
    <row r="895" spans="1:2" x14ac:dyDescent="0.3">
      <c r="A895" t="s">
        <v>133</v>
      </c>
      <c r="B895">
        <f t="shared" si="19"/>
        <v>-1</v>
      </c>
    </row>
    <row r="896" spans="1:2" x14ac:dyDescent="0.3">
      <c r="A896" t="s">
        <v>133</v>
      </c>
      <c r="B896">
        <f t="shared" si="19"/>
        <v>-1</v>
      </c>
    </row>
    <row r="897" spans="1:2" x14ac:dyDescent="0.3">
      <c r="A897" t="s">
        <v>133</v>
      </c>
      <c r="B897">
        <f t="shared" si="19"/>
        <v>-1</v>
      </c>
    </row>
    <row r="898" spans="1:2" x14ac:dyDescent="0.3">
      <c r="A898" t="s">
        <v>133</v>
      </c>
      <c r="B898">
        <f t="shared" ref="B898:B961" si="20">-A898</f>
        <v>-1</v>
      </c>
    </row>
    <row r="899" spans="1:2" x14ac:dyDescent="0.3">
      <c r="A899" t="s">
        <v>133</v>
      </c>
      <c r="B899">
        <f t="shared" si="20"/>
        <v>-1</v>
      </c>
    </row>
    <row r="900" spans="1:2" x14ac:dyDescent="0.3">
      <c r="A900" t="s">
        <v>133</v>
      </c>
      <c r="B900">
        <f t="shared" si="20"/>
        <v>-1</v>
      </c>
    </row>
    <row r="901" spans="1:2" x14ac:dyDescent="0.3">
      <c r="A901" t="s">
        <v>133</v>
      </c>
      <c r="B901">
        <f t="shared" si="20"/>
        <v>-1</v>
      </c>
    </row>
    <row r="902" spans="1:2" x14ac:dyDescent="0.3">
      <c r="A902" t="s">
        <v>133</v>
      </c>
      <c r="B902">
        <f t="shared" si="20"/>
        <v>-1</v>
      </c>
    </row>
    <row r="903" spans="1:2" x14ac:dyDescent="0.3">
      <c r="A903" t="s">
        <v>133</v>
      </c>
      <c r="B903">
        <f t="shared" si="20"/>
        <v>-1</v>
      </c>
    </row>
    <row r="904" spans="1:2" x14ac:dyDescent="0.3">
      <c r="A904" t="s">
        <v>133</v>
      </c>
      <c r="B904">
        <f t="shared" si="20"/>
        <v>-1</v>
      </c>
    </row>
    <row r="905" spans="1:2" x14ac:dyDescent="0.3">
      <c r="A905" t="s">
        <v>133</v>
      </c>
      <c r="B905">
        <f t="shared" si="20"/>
        <v>-1</v>
      </c>
    </row>
    <row r="906" spans="1:2" x14ac:dyDescent="0.3">
      <c r="A906" t="s">
        <v>133</v>
      </c>
      <c r="B906">
        <f t="shared" si="20"/>
        <v>-1</v>
      </c>
    </row>
    <row r="907" spans="1:2" x14ac:dyDescent="0.3">
      <c r="A907" t="s">
        <v>133</v>
      </c>
      <c r="B907">
        <f t="shared" si="20"/>
        <v>-1</v>
      </c>
    </row>
    <row r="908" spans="1:2" x14ac:dyDescent="0.3">
      <c r="A908" t="s">
        <v>133</v>
      </c>
      <c r="B908">
        <f t="shared" si="20"/>
        <v>-1</v>
      </c>
    </row>
    <row r="909" spans="1:2" x14ac:dyDescent="0.3">
      <c r="A909" t="s">
        <v>133</v>
      </c>
      <c r="B909">
        <f t="shared" si="20"/>
        <v>-1</v>
      </c>
    </row>
    <row r="910" spans="1:2" x14ac:dyDescent="0.3">
      <c r="A910" t="s">
        <v>133</v>
      </c>
      <c r="B910">
        <f t="shared" si="20"/>
        <v>-1</v>
      </c>
    </row>
    <row r="911" spans="1:2" x14ac:dyDescent="0.3">
      <c r="A911" t="s">
        <v>133</v>
      </c>
      <c r="B911">
        <f t="shared" si="20"/>
        <v>-1</v>
      </c>
    </row>
    <row r="912" spans="1:2" x14ac:dyDescent="0.3">
      <c r="A912" t="s">
        <v>133</v>
      </c>
      <c r="B912">
        <f t="shared" si="20"/>
        <v>-1</v>
      </c>
    </row>
    <row r="913" spans="1:2" x14ac:dyDescent="0.3">
      <c r="A913" t="s">
        <v>133</v>
      </c>
      <c r="B913">
        <f t="shared" si="20"/>
        <v>-1</v>
      </c>
    </row>
    <row r="914" spans="1:2" x14ac:dyDescent="0.3">
      <c r="A914" t="s">
        <v>133</v>
      </c>
      <c r="B914">
        <f t="shared" si="20"/>
        <v>-1</v>
      </c>
    </row>
    <row r="915" spans="1:2" x14ac:dyDescent="0.3">
      <c r="A915" t="s">
        <v>133</v>
      </c>
      <c r="B915">
        <f t="shared" si="20"/>
        <v>-1</v>
      </c>
    </row>
    <row r="916" spans="1:2" x14ac:dyDescent="0.3">
      <c r="A916" t="s">
        <v>133</v>
      </c>
      <c r="B916">
        <f t="shared" si="20"/>
        <v>-1</v>
      </c>
    </row>
    <row r="917" spans="1:2" x14ac:dyDescent="0.3">
      <c r="A917" t="s">
        <v>133</v>
      </c>
      <c r="B917">
        <f t="shared" si="20"/>
        <v>-1</v>
      </c>
    </row>
    <row r="918" spans="1:2" x14ac:dyDescent="0.3">
      <c r="A918" t="s">
        <v>133</v>
      </c>
      <c r="B918">
        <f t="shared" si="20"/>
        <v>-1</v>
      </c>
    </row>
    <row r="919" spans="1:2" x14ac:dyDescent="0.3">
      <c r="A919" t="s">
        <v>133</v>
      </c>
      <c r="B919">
        <f t="shared" si="20"/>
        <v>-1</v>
      </c>
    </row>
    <row r="920" spans="1:2" x14ac:dyDescent="0.3">
      <c r="A920" t="s">
        <v>133</v>
      </c>
      <c r="B920">
        <f t="shared" si="20"/>
        <v>-1</v>
      </c>
    </row>
    <row r="921" spans="1:2" x14ac:dyDescent="0.3">
      <c r="A921" t="s">
        <v>133</v>
      </c>
      <c r="B921">
        <f t="shared" si="20"/>
        <v>-1</v>
      </c>
    </row>
    <row r="922" spans="1:2" x14ac:dyDescent="0.3">
      <c r="A922" t="s">
        <v>133</v>
      </c>
      <c r="B922">
        <f t="shared" si="20"/>
        <v>-1</v>
      </c>
    </row>
    <row r="923" spans="1:2" x14ac:dyDescent="0.3">
      <c r="A923" t="s">
        <v>133</v>
      </c>
      <c r="B923">
        <f t="shared" si="20"/>
        <v>-1</v>
      </c>
    </row>
    <row r="924" spans="1:2" x14ac:dyDescent="0.3">
      <c r="A924" t="s">
        <v>133</v>
      </c>
      <c r="B924">
        <f t="shared" si="20"/>
        <v>-1</v>
      </c>
    </row>
    <row r="925" spans="1:2" x14ac:dyDescent="0.3">
      <c r="A925" t="s">
        <v>133</v>
      </c>
      <c r="B925">
        <f t="shared" si="20"/>
        <v>-1</v>
      </c>
    </row>
    <row r="926" spans="1:2" x14ac:dyDescent="0.3">
      <c r="A926" t="s">
        <v>133</v>
      </c>
      <c r="B926">
        <f t="shared" si="20"/>
        <v>-1</v>
      </c>
    </row>
    <row r="927" spans="1:2" x14ac:dyDescent="0.3">
      <c r="A927" t="s">
        <v>133</v>
      </c>
      <c r="B927">
        <f t="shared" si="20"/>
        <v>-1</v>
      </c>
    </row>
    <row r="928" spans="1:2" x14ac:dyDescent="0.3">
      <c r="A928" t="s">
        <v>133</v>
      </c>
      <c r="B928">
        <f t="shared" si="20"/>
        <v>-1</v>
      </c>
    </row>
    <row r="929" spans="1:2" x14ac:dyDescent="0.3">
      <c r="A929" t="s">
        <v>133</v>
      </c>
      <c r="B929">
        <f t="shared" si="20"/>
        <v>-1</v>
      </c>
    </row>
    <row r="930" spans="1:2" x14ac:dyDescent="0.3">
      <c r="A930" t="s">
        <v>133</v>
      </c>
      <c r="B930">
        <f t="shared" si="20"/>
        <v>-1</v>
      </c>
    </row>
    <row r="931" spans="1:2" x14ac:dyDescent="0.3">
      <c r="A931" t="s">
        <v>133</v>
      </c>
      <c r="B931">
        <f t="shared" si="20"/>
        <v>-1</v>
      </c>
    </row>
    <row r="932" spans="1:2" x14ac:dyDescent="0.3">
      <c r="A932" t="s">
        <v>133</v>
      </c>
      <c r="B932">
        <f t="shared" si="20"/>
        <v>-1</v>
      </c>
    </row>
    <row r="933" spans="1:2" x14ac:dyDescent="0.3">
      <c r="A933" t="s">
        <v>133</v>
      </c>
      <c r="B933">
        <f t="shared" si="20"/>
        <v>-1</v>
      </c>
    </row>
    <row r="934" spans="1:2" x14ac:dyDescent="0.3">
      <c r="A934" t="s">
        <v>133</v>
      </c>
      <c r="B934">
        <f t="shared" si="20"/>
        <v>-1</v>
      </c>
    </row>
    <row r="935" spans="1:2" x14ac:dyDescent="0.3">
      <c r="A935" t="s">
        <v>133</v>
      </c>
      <c r="B935">
        <f t="shared" si="20"/>
        <v>-1</v>
      </c>
    </row>
    <row r="936" spans="1:2" x14ac:dyDescent="0.3">
      <c r="A936" t="s">
        <v>133</v>
      </c>
      <c r="B936">
        <f t="shared" si="20"/>
        <v>-1</v>
      </c>
    </row>
    <row r="937" spans="1:2" x14ac:dyDescent="0.3">
      <c r="A937" t="s">
        <v>133</v>
      </c>
      <c r="B937">
        <f t="shared" si="20"/>
        <v>-1</v>
      </c>
    </row>
    <row r="938" spans="1:2" x14ac:dyDescent="0.3">
      <c r="A938" t="s">
        <v>133</v>
      </c>
      <c r="B938">
        <f t="shared" si="20"/>
        <v>-1</v>
      </c>
    </row>
    <row r="939" spans="1:2" x14ac:dyDescent="0.3">
      <c r="A939" t="s">
        <v>133</v>
      </c>
      <c r="B939">
        <f t="shared" si="20"/>
        <v>-1</v>
      </c>
    </row>
    <row r="940" spans="1:2" x14ac:dyDescent="0.3">
      <c r="A940" t="s">
        <v>133</v>
      </c>
      <c r="B940">
        <f t="shared" si="20"/>
        <v>-1</v>
      </c>
    </row>
    <row r="941" spans="1:2" x14ac:dyDescent="0.3">
      <c r="A941" t="s">
        <v>133</v>
      </c>
      <c r="B941">
        <f t="shared" si="20"/>
        <v>-1</v>
      </c>
    </row>
    <row r="942" spans="1:2" x14ac:dyDescent="0.3">
      <c r="A942" t="s">
        <v>133</v>
      </c>
      <c r="B942">
        <f t="shared" si="20"/>
        <v>-1</v>
      </c>
    </row>
    <row r="943" spans="1:2" x14ac:dyDescent="0.3">
      <c r="A943" t="s">
        <v>133</v>
      </c>
      <c r="B943">
        <f t="shared" si="20"/>
        <v>-1</v>
      </c>
    </row>
    <row r="944" spans="1:2" x14ac:dyDescent="0.3">
      <c r="A944" t="s">
        <v>133</v>
      </c>
      <c r="B944">
        <f t="shared" si="20"/>
        <v>-1</v>
      </c>
    </row>
    <row r="945" spans="1:2" x14ac:dyDescent="0.3">
      <c r="A945" t="s">
        <v>133</v>
      </c>
      <c r="B945">
        <f t="shared" si="20"/>
        <v>-1</v>
      </c>
    </row>
    <row r="946" spans="1:2" x14ac:dyDescent="0.3">
      <c r="A946" t="s">
        <v>133</v>
      </c>
      <c r="B946">
        <f t="shared" si="20"/>
        <v>-1</v>
      </c>
    </row>
    <row r="947" spans="1:2" x14ac:dyDescent="0.3">
      <c r="A947" t="s">
        <v>133</v>
      </c>
      <c r="B947">
        <f t="shared" si="20"/>
        <v>-1</v>
      </c>
    </row>
    <row r="948" spans="1:2" x14ac:dyDescent="0.3">
      <c r="A948" t="s">
        <v>133</v>
      </c>
      <c r="B948">
        <f t="shared" si="20"/>
        <v>-1</v>
      </c>
    </row>
    <row r="949" spans="1:2" x14ac:dyDescent="0.3">
      <c r="A949" t="s">
        <v>133</v>
      </c>
      <c r="B949">
        <f t="shared" si="20"/>
        <v>-1</v>
      </c>
    </row>
    <row r="950" spans="1:2" x14ac:dyDescent="0.3">
      <c r="A950" t="s">
        <v>133</v>
      </c>
      <c r="B950">
        <f t="shared" si="20"/>
        <v>-1</v>
      </c>
    </row>
    <row r="951" spans="1:2" x14ac:dyDescent="0.3">
      <c r="A951" t="s">
        <v>133</v>
      </c>
      <c r="B951">
        <f t="shared" si="20"/>
        <v>-1</v>
      </c>
    </row>
    <row r="952" spans="1:2" x14ac:dyDescent="0.3">
      <c r="A952" t="s">
        <v>133</v>
      </c>
      <c r="B952">
        <f t="shared" si="20"/>
        <v>-1</v>
      </c>
    </row>
    <row r="953" spans="1:2" x14ac:dyDescent="0.3">
      <c r="A953" t="s">
        <v>133</v>
      </c>
      <c r="B953">
        <f t="shared" si="20"/>
        <v>-1</v>
      </c>
    </row>
    <row r="954" spans="1:2" x14ac:dyDescent="0.3">
      <c r="A954" t="s">
        <v>133</v>
      </c>
      <c r="B954">
        <f t="shared" si="20"/>
        <v>-1</v>
      </c>
    </row>
    <row r="955" spans="1:2" x14ac:dyDescent="0.3">
      <c r="A955" t="s">
        <v>133</v>
      </c>
      <c r="B955">
        <f t="shared" si="20"/>
        <v>-1</v>
      </c>
    </row>
    <row r="956" spans="1:2" x14ac:dyDescent="0.3">
      <c r="A956" t="s">
        <v>133</v>
      </c>
      <c r="B956">
        <f t="shared" si="20"/>
        <v>-1</v>
      </c>
    </row>
    <row r="957" spans="1:2" x14ac:dyDescent="0.3">
      <c r="A957" t="s">
        <v>133</v>
      </c>
      <c r="B957">
        <f t="shared" si="20"/>
        <v>-1</v>
      </c>
    </row>
    <row r="958" spans="1:2" x14ac:dyDescent="0.3">
      <c r="A958" t="s">
        <v>133</v>
      </c>
      <c r="B958">
        <f t="shared" si="20"/>
        <v>-1</v>
      </c>
    </row>
    <row r="959" spans="1:2" x14ac:dyDescent="0.3">
      <c r="A959" t="s">
        <v>133</v>
      </c>
      <c r="B959">
        <f t="shared" si="20"/>
        <v>-1</v>
      </c>
    </row>
    <row r="960" spans="1:2" x14ac:dyDescent="0.3">
      <c r="A960" t="s">
        <v>133</v>
      </c>
      <c r="B960">
        <f t="shared" si="20"/>
        <v>-1</v>
      </c>
    </row>
    <row r="961" spans="1:2" x14ac:dyDescent="0.3">
      <c r="A961" t="s">
        <v>133</v>
      </c>
      <c r="B961">
        <f t="shared" si="20"/>
        <v>-1</v>
      </c>
    </row>
    <row r="962" spans="1:2" x14ac:dyDescent="0.3">
      <c r="A962" t="s">
        <v>133</v>
      </c>
      <c r="B962">
        <f t="shared" ref="B962:B1025" si="21">-A962</f>
        <v>-1</v>
      </c>
    </row>
    <row r="963" spans="1:2" x14ac:dyDescent="0.3">
      <c r="A963" t="s">
        <v>133</v>
      </c>
      <c r="B963">
        <f t="shared" si="21"/>
        <v>-1</v>
      </c>
    </row>
    <row r="964" spans="1:2" x14ac:dyDescent="0.3">
      <c r="A964" t="s">
        <v>133</v>
      </c>
      <c r="B964">
        <f t="shared" si="21"/>
        <v>-1</v>
      </c>
    </row>
    <row r="965" spans="1:2" x14ac:dyDescent="0.3">
      <c r="A965" t="s">
        <v>133</v>
      </c>
      <c r="B965">
        <f t="shared" si="21"/>
        <v>-1</v>
      </c>
    </row>
    <row r="966" spans="1:2" x14ac:dyDescent="0.3">
      <c r="A966" t="s">
        <v>133</v>
      </c>
      <c r="B966">
        <f t="shared" si="21"/>
        <v>-1</v>
      </c>
    </row>
    <row r="967" spans="1:2" x14ac:dyDescent="0.3">
      <c r="A967" t="s">
        <v>133</v>
      </c>
      <c r="B967">
        <f t="shared" si="21"/>
        <v>-1</v>
      </c>
    </row>
    <row r="968" spans="1:2" x14ac:dyDescent="0.3">
      <c r="A968" t="s">
        <v>133</v>
      </c>
      <c r="B968">
        <f t="shared" si="21"/>
        <v>-1</v>
      </c>
    </row>
    <row r="969" spans="1:2" x14ac:dyDescent="0.3">
      <c r="A969" t="s">
        <v>133</v>
      </c>
      <c r="B969">
        <f t="shared" si="21"/>
        <v>-1</v>
      </c>
    </row>
    <row r="970" spans="1:2" x14ac:dyDescent="0.3">
      <c r="A970" t="s">
        <v>133</v>
      </c>
      <c r="B970">
        <f t="shared" si="21"/>
        <v>-1</v>
      </c>
    </row>
    <row r="971" spans="1:2" x14ac:dyDescent="0.3">
      <c r="A971" t="s">
        <v>133</v>
      </c>
      <c r="B971">
        <f t="shared" si="21"/>
        <v>-1</v>
      </c>
    </row>
    <row r="972" spans="1:2" x14ac:dyDescent="0.3">
      <c r="A972" t="s">
        <v>135</v>
      </c>
      <c r="B972">
        <f t="shared" si="21"/>
        <v>-3</v>
      </c>
    </row>
    <row r="973" spans="1:2" x14ac:dyDescent="0.3">
      <c r="A973" t="s">
        <v>133</v>
      </c>
      <c r="B973">
        <f t="shared" si="21"/>
        <v>-1</v>
      </c>
    </row>
    <row r="974" spans="1:2" x14ac:dyDescent="0.3">
      <c r="A974" t="s">
        <v>133</v>
      </c>
      <c r="B974">
        <f t="shared" si="21"/>
        <v>-1</v>
      </c>
    </row>
    <row r="975" spans="1:2" x14ac:dyDescent="0.3">
      <c r="A975" t="s">
        <v>133</v>
      </c>
      <c r="B975">
        <f t="shared" si="21"/>
        <v>-1</v>
      </c>
    </row>
    <row r="976" spans="1:2" x14ac:dyDescent="0.3">
      <c r="A976" t="s">
        <v>133</v>
      </c>
      <c r="B976">
        <f t="shared" si="21"/>
        <v>-1</v>
      </c>
    </row>
    <row r="977" spans="1:2" x14ac:dyDescent="0.3">
      <c r="A977" t="s">
        <v>133</v>
      </c>
      <c r="B977">
        <f t="shared" si="21"/>
        <v>-1</v>
      </c>
    </row>
    <row r="978" spans="1:2" x14ac:dyDescent="0.3">
      <c r="A978" t="s">
        <v>133</v>
      </c>
      <c r="B978">
        <f t="shared" si="21"/>
        <v>-1</v>
      </c>
    </row>
    <row r="979" spans="1:2" x14ac:dyDescent="0.3">
      <c r="A979" t="s">
        <v>133</v>
      </c>
      <c r="B979">
        <f t="shared" si="21"/>
        <v>-1</v>
      </c>
    </row>
    <row r="980" spans="1:2" x14ac:dyDescent="0.3">
      <c r="A980" t="s">
        <v>133</v>
      </c>
      <c r="B980">
        <f t="shared" si="21"/>
        <v>-1</v>
      </c>
    </row>
    <row r="981" spans="1:2" x14ac:dyDescent="0.3">
      <c r="A981" t="s">
        <v>133</v>
      </c>
      <c r="B981">
        <f t="shared" si="21"/>
        <v>-1</v>
      </c>
    </row>
    <row r="982" spans="1:2" x14ac:dyDescent="0.3">
      <c r="A982" t="s">
        <v>133</v>
      </c>
      <c r="B982">
        <f t="shared" si="21"/>
        <v>-1</v>
      </c>
    </row>
    <row r="983" spans="1:2" x14ac:dyDescent="0.3">
      <c r="A983" t="s">
        <v>134</v>
      </c>
      <c r="B983">
        <f t="shared" si="21"/>
        <v>-2</v>
      </c>
    </row>
    <row r="984" spans="1:2" x14ac:dyDescent="0.3">
      <c r="A984" t="s">
        <v>133</v>
      </c>
      <c r="B984">
        <f t="shared" si="21"/>
        <v>-1</v>
      </c>
    </row>
    <row r="985" spans="1:2" x14ac:dyDescent="0.3">
      <c r="A985" t="s">
        <v>133</v>
      </c>
      <c r="B985">
        <f t="shared" si="21"/>
        <v>-1</v>
      </c>
    </row>
    <row r="986" spans="1:2" x14ac:dyDescent="0.3">
      <c r="A986" t="s">
        <v>133</v>
      </c>
      <c r="B986">
        <f t="shared" si="21"/>
        <v>-1</v>
      </c>
    </row>
    <row r="987" spans="1:2" x14ac:dyDescent="0.3">
      <c r="A987" t="s">
        <v>133</v>
      </c>
      <c r="B987">
        <f t="shared" si="21"/>
        <v>-1</v>
      </c>
    </row>
    <row r="988" spans="1:2" x14ac:dyDescent="0.3">
      <c r="A988" t="s">
        <v>133</v>
      </c>
      <c r="B988">
        <f t="shared" si="21"/>
        <v>-1</v>
      </c>
    </row>
    <row r="989" spans="1:2" x14ac:dyDescent="0.3">
      <c r="A989" t="s">
        <v>133</v>
      </c>
      <c r="B989">
        <f t="shared" si="21"/>
        <v>-1</v>
      </c>
    </row>
    <row r="990" spans="1:2" x14ac:dyDescent="0.3">
      <c r="A990" t="s">
        <v>133</v>
      </c>
      <c r="B990">
        <f t="shared" si="21"/>
        <v>-1</v>
      </c>
    </row>
    <row r="991" spans="1:2" x14ac:dyDescent="0.3">
      <c r="A991" t="s">
        <v>133</v>
      </c>
      <c r="B991">
        <f t="shared" si="21"/>
        <v>-1</v>
      </c>
    </row>
    <row r="992" spans="1:2" x14ac:dyDescent="0.3">
      <c r="A992" t="s">
        <v>133</v>
      </c>
      <c r="B992">
        <f t="shared" si="21"/>
        <v>-1</v>
      </c>
    </row>
    <row r="993" spans="1:2" x14ac:dyDescent="0.3">
      <c r="A993" t="s">
        <v>133</v>
      </c>
      <c r="B993">
        <f t="shared" si="21"/>
        <v>-1</v>
      </c>
    </row>
    <row r="994" spans="1:2" x14ac:dyDescent="0.3">
      <c r="A994" t="s">
        <v>133</v>
      </c>
      <c r="B994">
        <f t="shared" si="21"/>
        <v>-1</v>
      </c>
    </row>
    <row r="995" spans="1:2" x14ac:dyDescent="0.3">
      <c r="A995" t="s">
        <v>133</v>
      </c>
      <c r="B995">
        <f t="shared" si="21"/>
        <v>-1</v>
      </c>
    </row>
    <row r="996" spans="1:2" x14ac:dyDescent="0.3">
      <c r="A996" t="s">
        <v>133</v>
      </c>
      <c r="B996">
        <f t="shared" si="21"/>
        <v>-1</v>
      </c>
    </row>
    <row r="997" spans="1:2" x14ac:dyDescent="0.3">
      <c r="A997" t="s">
        <v>133</v>
      </c>
      <c r="B997">
        <f t="shared" si="21"/>
        <v>-1</v>
      </c>
    </row>
    <row r="998" spans="1:2" x14ac:dyDescent="0.3">
      <c r="A998" t="s">
        <v>133</v>
      </c>
      <c r="B998">
        <f t="shared" si="21"/>
        <v>-1</v>
      </c>
    </row>
    <row r="999" spans="1:2" x14ac:dyDescent="0.3">
      <c r="A999" t="s">
        <v>133</v>
      </c>
      <c r="B999">
        <f t="shared" si="21"/>
        <v>-1</v>
      </c>
    </row>
    <row r="1000" spans="1:2" x14ac:dyDescent="0.3">
      <c r="A1000" t="s">
        <v>133</v>
      </c>
      <c r="B1000">
        <f t="shared" si="21"/>
        <v>-1</v>
      </c>
    </row>
    <row r="1001" spans="1:2" x14ac:dyDescent="0.3">
      <c r="A1001" t="s">
        <v>133</v>
      </c>
      <c r="B1001">
        <f t="shared" si="21"/>
        <v>-1</v>
      </c>
    </row>
    <row r="1002" spans="1:2" x14ac:dyDescent="0.3">
      <c r="A1002" t="s">
        <v>133</v>
      </c>
      <c r="B1002">
        <f t="shared" si="21"/>
        <v>-1</v>
      </c>
    </row>
    <row r="1003" spans="1:2" x14ac:dyDescent="0.3">
      <c r="A1003" t="s">
        <v>133</v>
      </c>
      <c r="B1003">
        <f t="shared" si="21"/>
        <v>-1</v>
      </c>
    </row>
    <row r="1004" spans="1:2" x14ac:dyDescent="0.3">
      <c r="A1004" t="s">
        <v>133</v>
      </c>
      <c r="B1004">
        <f t="shared" si="21"/>
        <v>-1</v>
      </c>
    </row>
    <row r="1005" spans="1:2" x14ac:dyDescent="0.3">
      <c r="A1005" t="s">
        <v>133</v>
      </c>
      <c r="B1005">
        <f t="shared" si="21"/>
        <v>-1</v>
      </c>
    </row>
    <row r="1006" spans="1:2" x14ac:dyDescent="0.3">
      <c r="A1006" t="s">
        <v>133</v>
      </c>
      <c r="B1006">
        <f t="shared" si="21"/>
        <v>-1</v>
      </c>
    </row>
    <row r="1007" spans="1:2" x14ac:dyDescent="0.3">
      <c r="A1007" t="s">
        <v>133</v>
      </c>
      <c r="B1007">
        <f t="shared" si="21"/>
        <v>-1</v>
      </c>
    </row>
    <row r="1008" spans="1:2" x14ac:dyDescent="0.3">
      <c r="A1008" t="s">
        <v>133</v>
      </c>
      <c r="B1008">
        <f t="shared" si="21"/>
        <v>-1</v>
      </c>
    </row>
    <row r="1009" spans="1:2" x14ac:dyDescent="0.3">
      <c r="A1009" t="s">
        <v>133</v>
      </c>
      <c r="B1009">
        <f t="shared" si="21"/>
        <v>-1</v>
      </c>
    </row>
    <row r="1010" spans="1:2" x14ac:dyDescent="0.3">
      <c r="A1010" t="s">
        <v>133</v>
      </c>
      <c r="B1010">
        <f t="shared" si="21"/>
        <v>-1</v>
      </c>
    </row>
    <row r="1011" spans="1:2" x14ac:dyDescent="0.3">
      <c r="A1011" t="s">
        <v>133</v>
      </c>
      <c r="B1011">
        <f t="shared" si="21"/>
        <v>-1</v>
      </c>
    </row>
    <row r="1012" spans="1:2" x14ac:dyDescent="0.3">
      <c r="A1012" t="s">
        <v>133</v>
      </c>
      <c r="B1012">
        <f t="shared" si="21"/>
        <v>-1</v>
      </c>
    </row>
    <row r="1013" spans="1:2" x14ac:dyDescent="0.3">
      <c r="A1013" t="s">
        <v>133</v>
      </c>
      <c r="B1013">
        <f t="shared" si="21"/>
        <v>-1</v>
      </c>
    </row>
    <row r="1014" spans="1:2" x14ac:dyDescent="0.3">
      <c r="A1014" t="s">
        <v>133</v>
      </c>
      <c r="B1014">
        <f t="shared" si="21"/>
        <v>-1</v>
      </c>
    </row>
    <row r="1015" spans="1:2" x14ac:dyDescent="0.3">
      <c r="A1015" t="s">
        <v>133</v>
      </c>
      <c r="B1015">
        <f t="shared" si="21"/>
        <v>-1</v>
      </c>
    </row>
    <row r="1016" spans="1:2" x14ac:dyDescent="0.3">
      <c r="A1016" t="s">
        <v>133</v>
      </c>
      <c r="B1016">
        <f t="shared" si="21"/>
        <v>-1</v>
      </c>
    </row>
    <row r="1017" spans="1:2" x14ac:dyDescent="0.3">
      <c r="A1017" t="s">
        <v>133</v>
      </c>
      <c r="B1017">
        <f t="shared" si="21"/>
        <v>-1</v>
      </c>
    </row>
    <row r="1018" spans="1:2" x14ac:dyDescent="0.3">
      <c r="A1018" t="s">
        <v>133</v>
      </c>
      <c r="B1018">
        <f t="shared" si="21"/>
        <v>-1</v>
      </c>
    </row>
    <row r="1019" spans="1:2" x14ac:dyDescent="0.3">
      <c r="A1019" t="s">
        <v>133</v>
      </c>
      <c r="B1019">
        <f t="shared" si="21"/>
        <v>-1</v>
      </c>
    </row>
    <row r="1020" spans="1:2" x14ac:dyDescent="0.3">
      <c r="A1020" t="s">
        <v>133</v>
      </c>
      <c r="B1020">
        <f t="shared" si="21"/>
        <v>-1</v>
      </c>
    </row>
    <row r="1021" spans="1:2" x14ac:dyDescent="0.3">
      <c r="A1021" t="s">
        <v>133</v>
      </c>
      <c r="B1021">
        <f t="shared" si="21"/>
        <v>-1</v>
      </c>
    </row>
    <row r="1022" spans="1:2" x14ac:dyDescent="0.3">
      <c r="A1022" t="s">
        <v>133</v>
      </c>
      <c r="B1022">
        <f t="shared" si="21"/>
        <v>-1</v>
      </c>
    </row>
    <row r="1023" spans="1:2" x14ac:dyDescent="0.3">
      <c r="A1023" t="s">
        <v>133</v>
      </c>
      <c r="B1023">
        <f t="shared" si="21"/>
        <v>-1</v>
      </c>
    </row>
    <row r="1024" spans="1:2" x14ac:dyDescent="0.3">
      <c r="A1024" t="s">
        <v>133</v>
      </c>
      <c r="B1024">
        <f t="shared" si="21"/>
        <v>-1</v>
      </c>
    </row>
    <row r="1025" spans="1:2" x14ac:dyDescent="0.3">
      <c r="A1025" t="s">
        <v>133</v>
      </c>
      <c r="B1025">
        <f t="shared" si="21"/>
        <v>-1</v>
      </c>
    </row>
    <row r="1026" spans="1:2" x14ac:dyDescent="0.3">
      <c r="A1026" t="s">
        <v>133</v>
      </c>
      <c r="B1026">
        <f t="shared" ref="B1026:B1089" si="22">-A1026</f>
        <v>-1</v>
      </c>
    </row>
    <row r="1027" spans="1:2" x14ac:dyDescent="0.3">
      <c r="A1027" t="s">
        <v>133</v>
      </c>
      <c r="B1027">
        <f t="shared" si="22"/>
        <v>-1</v>
      </c>
    </row>
    <row r="1028" spans="1:2" x14ac:dyDescent="0.3">
      <c r="A1028" t="s">
        <v>133</v>
      </c>
      <c r="B1028">
        <f t="shared" si="22"/>
        <v>-1</v>
      </c>
    </row>
    <row r="1029" spans="1:2" x14ac:dyDescent="0.3">
      <c r="A1029" t="s">
        <v>133</v>
      </c>
      <c r="B1029">
        <f t="shared" si="22"/>
        <v>-1</v>
      </c>
    </row>
    <row r="1030" spans="1:2" x14ac:dyDescent="0.3">
      <c r="A1030" t="s">
        <v>133</v>
      </c>
      <c r="B1030">
        <f t="shared" si="22"/>
        <v>-1</v>
      </c>
    </row>
    <row r="1031" spans="1:2" x14ac:dyDescent="0.3">
      <c r="A1031" t="s">
        <v>133</v>
      </c>
      <c r="B1031">
        <f t="shared" si="22"/>
        <v>-1</v>
      </c>
    </row>
    <row r="1032" spans="1:2" x14ac:dyDescent="0.3">
      <c r="A1032" t="s">
        <v>133</v>
      </c>
      <c r="B1032">
        <f t="shared" si="22"/>
        <v>-1</v>
      </c>
    </row>
    <row r="1033" spans="1:2" x14ac:dyDescent="0.3">
      <c r="A1033" t="s">
        <v>133</v>
      </c>
      <c r="B1033">
        <f t="shared" si="22"/>
        <v>-1</v>
      </c>
    </row>
    <row r="1034" spans="1:2" x14ac:dyDescent="0.3">
      <c r="A1034" t="s">
        <v>133</v>
      </c>
      <c r="B1034">
        <f t="shared" si="22"/>
        <v>-1</v>
      </c>
    </row>
    <row r="1035" spans="1:2" x14ac:dyDescent="0.3">
      <c r="A1035" t="s">
        <v>133</v>
      </c>
      <c r="B1035">
        <f t="shared" si="22"/>
        <v>-1</v>
      </c>
    </row>
    <row r="1036" spans="1:2" x14ac:dyDescent="0.3">
      <c r="A1036" t="s">
        <v>133</v>
      </c>
      <c r="B1036">
        <f t="shared" si="22"/>
        <v>-1</v>
      </c>
    </row>
    <row r="1037" spans="1:2" x14ac:dyDescent="0.3">
      <c r="A1037" t="s">
        <v>133</v>
      </c>
      <c r="B1037">
        <f t="shared" si="22"/>
        <v>-1</v>
      </c>
    </row>
    <row r="1038" spans="1:2" x14ac:dyDescent="0.3">
      <c r="A1038" t="s">
        <v>133</v>
      </c>
      <c r="B1038">
        <f t="shared" si="22"/>
        <v>-1</v>
      </c>
    </row>
    <row r="1039" spans="1:2" x14ac:dyDescent="0.3">
      <c r="A1039" t="s">
        <v>133</v>
      </c>
      <c r="B1039">
        <f t="shared" si="22"/>
        <v>-1</v>
      </c>
    </row>
    <row r="1040" spans="1:2" x14ac:dyDescent="0.3">
      <c r="A1040" t="s">
        <v>133</v>
      </c>
      <c r="B1040">
        <f t="shared" si="22"/>
        <v>-1</v>
      </c>
    </row>
    <row r="1041" spans="1:2" x14ac:dyDescent="0.3">
      <c r="A1041" t="s">
        <v>133</v>
      </c>
      <c r="B1041">
        <f t="shared" si="22"/>
        <v>-1</v>
      </c>
    </row>
    <row r="1042" spans="1:2" x14ac:dyDescent="0.3">
      <c r="A1042" t="s">
        <v>133</v>
      </c>
      <c r="B1042">
        <f t="shared" si="22"/>
        <v>-1</v>
      </c>
    </row>
    <row r="1043" spans="1:2" x14ac:dyDescent="0.3">
      <c r="A1043" t="s">
        <v>133</v>
      </c>
      <c r="B1043">
        <f t="shared" si="22"/>
        <v>-1</v>
      </c>
    </row>
    <row r="1044" spans="1:2" x14ac:dyDescent="0.3">
      <c r="A1044" t="s">
        <v>133</v>
      </c>
      <c r="B1044">
        <f t="shared" si="22"/>
        <v>-1</v>
      </c>
    </row>
    <row r="1045" spans="1:2" x14ac:dyDescent="0.3">
      <c r="A1045" t="s">
        <v>133</v>
      </c>
      <c r="B1045">
        <f t="shared" si="22"/>
        <v>-1</v>
      </c>
    </row>
    <row r="1046" spans="1:2" x14ac:dyDescent="0.3">
      <c r="A1046" t="s">
        <v>133</v>
      </c>
      <c r="B1046">
        <f t="shared" si="22"/>
        <v>-1</v>
      </c>
    </row>
    <row r="1047" spans="1:2" x14ac:dyDescent="0.3">
      <c r="A1047" t="s">
        <v>133</v>
      </c>
      <c r="B1047">
        <f t="shared" si="22"/>
        <v>-1</v>
      </c>
    </row>
    <row r="1048" spans="1:2" x14ac:dyDescent="0.3">
      <c r="A1048" t="s">
        <v>133</v>
      </c>
      <c r="B1048">
        <f t="shared" si="22"/>
        <v>-1</v>
      </c>
    </row>
    <row r="1049" spans="1:2" x14ac:dyDescent="0.3">
      <c r="A1049" t="s">
        <v>133</v>
      </c>
      <c r="B1049">
        <f t="shared" si="22"/>
        <v>-1</v>
      </c>
    </row>
    <row r="1050" spans="1:2" x14ac:dyDescent="0.3">
      <c r="A1050" t="s">
        <v>133</v>
      </c>
      <c r="B1050">
        <f t="shared" si="22"/>
        <v>-1</v>
      </c>
    </row>
    <row r="1051" spans="1:2" x14ac:dyDescent="0.3">
      <c r="A1051" t="s">
        <v>133</v>
      </c>
      <c r="B1051">
        <f t="shared" si="22"/>
        <v>-1</v>
      </c>
    </row>
    <row r="1052" spans="1:2" x14ac:dyDescent="0.3">
      <c r="A1052" t="s">
        <v>133</v>
      </c>
      <c r="B1052">
        <f t="shared" si="22"/>
        <v>-1</v>
      </c>
    </row>
    <row r="1053" spans="1:2" x14ac:dyDescent="0.3">
      <c r="A1053" t="s">
        <v>133</v>
      </c>
      <c r="B1053">
        <f t="shared" si="22"/>
        <v>-1</v>
      </c>
    </row>
    <row r="1054" spans="1:2" x14ac:dyDescent="0.3">
      <c r="A1054" t="s">
        <v>133</v>
      </c>
      <c r="B1054">
        <f t="shared" si="22"/>
        <v>-1</v>
      </c>
    </row>
    <row r="1055" spans="1:2" x14ac:dyDescent="0.3">
      <c r="A1055" t="s">
        <v>133</v>
      </c>
      <c r="B1055">
        <f t="shared" si="22"/>
        <v>-1</v>
      </c>
    </row>
    <row r="1056" spans="1:2" x14ac:dyDescent="0.3">
      <c r="A1056" t="s">
        <v>133</v>
      </c>
      <c r="B1056">
        <f t="shared" si="22"/>
        <v>-1</v>
      </c>
    </row>
    <row r="1057" spans="1:2" x14ac:dyDescent="0.3">
      <c r="A1057" t="s">
        <v>133</v>
      </c>
      <c r="B1057">
        <f t="shared" si="22"/>
        <v>-1</v>
      </c>
    </row>
    <row r="1058" spans="1:2" x14ac:dyDescent="0.3">
      <c r="A1058" t="s">
        <v>133</v>
      </c>
      <c r="B1058">
        <f t="shared" si="22"/>
        <v>-1</v>
      </c>
    </row>
    <row r="1059" spans="1:2" x14ac:dyDescent="0.3">
      <c r="A1059" t="s">
        <v>133</v>
      </c>
      <c r="B1059">
        <f t="shared" si="22"/>
        <v>-1</v>
      </c>
    </row>
    <row r="1060" spans="1:2" x14ac:dyDescent="0.3">
      <c r="A1060" t="s">
        <v>133</v>
      </c>
      <c r="B1060">
        <f t="shared" si="22"/>
        <v>-1</v>
      </c>
    </row>
    <row r="1061" spans="1:2" x14ac:dyDescent="0.3">
      <c r="A1061" t="s">
        <v>133</v>
      </c>
      <c r="B1061">
        <f t="shared" si="22"/>
        <v>-1</v>
      </c>
    </row>
    <row r="1062" spans="1:2" x14ac:dyDescent="0.3">
      <c r="A1062" t="s">
        <v>133</v>
      </c>
      <c r="B1062">
        <f t="shared" si="22"/>
        <v>-1</v>
      </c>
    </row>
    <row r="1063" spans="1:2" x14ac:dyDescent="0.3">
      <c r="A1063" t="s">
        <v>133</v>
      </c>
      <c r="B1063">
        <f t="shared" si="22"/>
        <v>-1</v>
      </c>
    </row>
    <row r="1064" spans="1:2" x14ac:dyDescent="0.3">
      <c r="A1064" t="s">
        <v>133</v>
      </c>
      <c r="B1064">
        <f t="shared" si="22"/>
        <v>-1</v>
      </c>
    </row>
    <row r="1065" spans="1:2" x14ac:dyDescent="0.3">
      <c r="A1065" t="s">
        <v>133</v>
      </c>
      <c r="B1065">
        <f t="shared" si="22"/>
        <v>-1</v>
      </c>
    </row>
    <row r="1066" spans="1:2" x14ac:dyDescent="0.3">
      <c r="A1066" t="s">
        <v>133</v>
      </c>
      <c r="B1066">
        <f t="shared" si="22"/>
        <v>-1</v>
      </c>
    </row>
    <row r="1067" spans="1:2" x14ac:dyDescent="0.3">
      <c r="A1067" t="s">
        <v>133</v>
      </c>
      <c r="B1067">
        <f t="shared" si="22"/>
        <v>-1</v>
      </c>
    </row>
    <row r="1068" spans="1:2" x14ac:dyDescent="0.3">
      <c r="A1068" t="s">
        <v>133</v>
      </c>
      <c r="B1068">
        <f t="shared" si="22"/>
        <v>-1</v>
      </c>
    </row>
    <row r="1069" spans="1:2" x14ac:dyDescent="0.3">
      <c r="A1069" t="s">
        <v>133</v>
      </c>
      <c r="B1069">
        <f t="shared" si="22"/>
        <v>-1</v>
      </c>
    </row>
    <row r="1070" spans="1:2" x14ac:dyDescent="0.3">
      <c r="A1070" t="s">
        <v>133</v>
      </c>
      <c r="B1070">
        <f t="shared" si="22"/>
        <v>-1</v>
      </c>
    </row>
    <row r="1071" spans="1:2" x14ac:dyDescent="0.3">
      <c r="A1071" t="s">
        <v>133</v>
      </c>
      <c r="B1071">
        <f t="shared" si="22"/>
        <v>-1</v>
      </c>
    </row>
    <row r="1072" spans="1:2" x14ac:dyDescent="0.3">
      <c r="A1072" t="s">
        <v>133</v>
      </c>
      <c r="B1072">
        <f t="shared" si="22"/>
        <v>-1</v>
      </c>
    </row>
    <row r="1073" spans="1:2" x14ac:dyDescent="0.3">
      <c r="A1073" t="s">
        <v>133</v>
      </c>
      <c r="B1073">
        <f t="shared" si="22"/>
        <v>-1</v>
      </c>
    </row>
    <row r="1074" spans="1:2" x14ac:dyDescent="0.3">
      <c r="A1074" t="s">
        <v>133</v>
      </c>
      <c r="B1074">
        <f t="shared" si="22"/>
        <v>-1</v>
      </c>
    </row>
    <row r="1075" spans="1:2" x14ac:dyDescent="0.3">
      <c r="A1075" t="s">
        <v>133</v>
      </c>
      <c r="B1075">
        <f t="shared" si="22"/>
        <v>-1</v>
      </c>
    </row>
    <row r="1076" spans="1:2" x14ac:dyDescent="0.3">
      <c r="A1076" t="s">
        <v>133</v>
      </c>
      <c r="B1076">
        <f t="shared" si="22"/>
        <v>-1</v>
      </c>
    </row>
    <row r="1077" spans="1:2" x14ac:dyDescent="0.3">
      <c r="A1077" t="s">
        <v>133</v>
      </c>
      <c r="B1077">
        <f t="shared" si="22"/>
        <v>-1</v>
      </c>
    </row>
    <row r="1078" spans="1:2" x14ac:dyDescent="0.3">
      <c r="A1078" t="s">
        <v>133</v>
      </c>
      <c r="B1078">
        <f t="shared" si="22"/>
        <v>-1</v>
      </c>
    </row>
    <row r="1079" spans="1:2" x14ac:dyDescent="0.3">
      <c r="A1079" t="s">
        <v>133</v>
      </c>
      <c r="B1079">
        <f t="shared" si="22"/>
        <v>-1</v>
      </c>
    </row>
    <row r="1080" spans="1:2" x14ac:dyDescent="0.3">
      <c r="A1080" t="s">
        <v>133</v>
      </c>
      <c r="B1080">
        <f t="shared" si="22"/>
        <v>-1</v>
      </c>
    </row>
    <row r="1081" spans="1:2" x14ac:dyDescent="0.3">
      <c r="A1081" t="s">
        <v>133</v>
      </c>
      <c r="B1081">
        <f t="shared" si="22"/>
        <v>-1</v>
      </c>
    </row>
    <row r="1082" spans="1:2" x14ac:dyDescent="0.3">
      <c r="A1082" t="s">
        <v>133</v>
      </c>
      <c r="B1082">
        <f t="shared" si="22"/>
        <v>-1</v>
      </c>
    </row>
    <row r="1083" spans="1:2" x14ac:dyDescent="0.3">
      <c r="A1083" t="s">
        <v>133</v>
      </c>
      <c r="B1083">
        <f t="shared" si="22"/>
        <v>-1</v>
      </c>
    </row>
    <row r="1084" spans="1:2" x14ac:dyDescent="0.3">
      <c r="A1084" t="s">
        <v>133</v>
      </c>
      <c r="B1084">
        <f t="shared" si="22"/>
        <v>-1</v>
      </c>
    </row>
    <row r="1085" spans="1:2" x14ac:dyDescent="0.3">
      <c r="A1085" t="s">
        <v>133</v>
      </c>
      <c r="B1085">
        <f t="shared" si="22"/>
        <v>-1</v>
      </c>
    </row>
    <row r="1086" spans="1:2" x14ac:dyDescent="0.3">
      <c r="A1086" t="s">
        <v>133</v>
      </c>
      <c r="B1086">
        <f t="shared" si="22"/>
        <v>-1</v>
      </c>
    </row>
    <row r="1087" spans="1:2" x14ac:dyDescent="0.3">
      <c r="A1087" t="s">
        <v>133</v>
      </c>
      <c r="B1087">
        <f t="shared" si="22"/>
        <v>-1</v>
      </c>
    </row>
    <row r="1088" spans="1:2" x14ac:dyDescent="0.3">
      <c r="A1088" t="s">
        <v>134</v>
      </c>
      <c r="B1088">
        <f t="shared" si="22"/>
        <v>-2</v>
      </c>
    </row>
    <row r="1089" spans="1:2" x14ac:dyDescent="0.3">
      <c r="A1089" t="s">
        <v>133</v>
      </c>
      <c r="B1089">
        <f t="shared" si="22"/>
        <v>-1</v>
      </c>
    </row>
    <row r="1090" spans="1:2" x14ac:dyDescent="0.3">
      <c r="A1090" t="s">
        <v>133</v>
      </c>
      <c r="B1090">
        <f t="shared" ref="B1090:B1153" si="23">-A1090</f>
        <v>-1</v>
      </c>
    </row>
    <row r="1091" spans="1:2" x14ac:dyDescent="0.3">
      <c r="A1091" t="s">
        <v>133</v>
      </c>
      <c r="B1091">
        <f t="shared" si="23"/>
        <v>-1</v>
      </c>
    </row>
    <row r="1092" spans="1:2" x14ac:dyDescent="0.3">
      <c r="A1092" t="s">
        <v>133</v>
      </c>
      <c r="B1092">
        <f t="shared" si="23"/>
        <v>-1</v>
      </c>
    </row>
    <row r="1093" spans="1:2" x14ac:dyDescent="0.3">
      <c r="A1093" t="s">
        <v>133</v>
      </c>
      <c r="B1093">
        <f t="shared" si="23"/>
        <v>-1</v>
      </c>
    </row>
    <row r="1094" spans="1:2" x14ac:dyDescent="0.3">
      <c r="A1094" t="s">
        <v>133</v>
      </c>
      <c r="B1094">
        <f t="shared" si="23"/>
        <v>-1</v>
      </c>
    </row>
    <row r="1095" spans="1:2" x14ac:dyDescent="0.3">
      <c r="A1095" t="s">
        <v>133</v>
      </c>
      <c r="B1095">
        <f t="shared" si="23"/>
        <v>-1</v>
      </c>
    </row>
    <row r="1096" spans="1:2" x14ac:dyDescent="0.3">
      <c r="A1096" t="s">
        <v>133</v>
      </c>
      <c r="B1096">
        <f t="shared" si="23"/>
        <v>-1</v>
      </c>
    </row>
    <row r="1097" spans="1:2" x14ac:dyDescent="0.3">
      <c r="A1097" t="s">
        <v>133</v>
      </c>
      <c r="B1097">
        <f t="shared" si="23"/>
        <v>-1</v>
      </c>
    </row>
    <row r="1098" spans="1:2" x14ac:dyDescent="0.3">
      <c r="A1098" t="s">
        <v>133</v>
      </c>
      <c r="B1098">
        <f t="shared" si="23"/>
        <v>-1</v>
      </c>
    </row>
    <row r="1099" spans="1:2" x14ac:dyDescent="0.3">
      <c r="A1099" t="s">
        <v>133</v>
      </c>
      <c r="B1099">
        <f t="shared" si="23"/>
        <v>-1</v>
      </c>
    </row>
    <row r="1100" spans="1:2" x14ac:dyDescent="0.3">
      <c r="A1100" t="s">
        <v>133</v>
      </c>
      <c r="B1100">
        <f t="shared" si="23"/>
        <v>-1</v>
      </c>
    </row>
    <row r="1101" spans="1:2" x14ac:dyDescent="0.3">
      <c r="A1101" t="s">
        <v>133</v>
      </c>
      <c r="B1101">
        <f t="shared" si="23"/>
        <v>-1</v>
      </c>
    </row>
    <row r="1102" spans="1:2" x14ac:dyDescent="0.3">
      <c r="A1102" t="s">
        <v>133</v>
      </c>
      <c r="B1102">
        <f t="shared" si="23"/>
        <v>-1</v>
      </c>
    </row>
    <row r="1103" spans="1:2" x14ac:dyDescent="0.3">
      <c r="A1103" t="s">
        <v>133</v>
      </c>
      <c r="B1103">
        <f t="shared" si="23"/>
        <v>-1</v>
      </c>
    </row>
    <row r="1104" spans="1:2" x14ac:dyDescent="0.3">
      <c r="A1104" t="s">
        <v>133</v>
      </c>
      <c r="B1104">
        <f t="shared" si="23"/>
        <v>-1</v>
      </c>
    </row>
    <row r="1105" spans="1:2" x14ac:dyDescent="0.3">
      <c r="A1105" t="s">
        <v>133</v>
      </c>
      <c r="B1105">
        <f t="shared" si="23"/>
        <v>-1</v>
      </c>
    </row>
    <row r="1106" spans="1:2" x14ac:dyDescent="0.3">
      <c r="A1106" t="s">
        <v>133</v>
      </c>
      <c r="B1106">
        <f t="shared" si="23"/>
        <v>-1</v>
      </c>
    </row>
    <row r="1107" spans="1:2" x14ac:dyDescent="0.3">
      <c r="A1107" t="s">
        <v>133</v>
      </c>
      <c r="B1107">
        <f t="shared" si="23"/>
        <v>-1</v>
      </c>
    </row>
    <row r="1108" spans="1:2" x14ac:dyDescent="0.3">
      <c r="A1108" t="s">
        <v>133</v>
      </c>
      <c r="B1108">
        <f t="shared" si="23"/>
        <v>-1</v>
      </c>
    </row>
    <row r="1109" spans="1:2" x14ac:dyDescent="0.3">
      <c r="A1109" t="s">
        <v>133</v>
      </c>
      <c r="B1109">
        <f t="shared" si="23"/>
        <v>-1</v>
      </c>
    </row>
    <row r="1110" spans="1:2" x14ac:dyDescent="0.3">
      <c r="A1110" t="s">
        <v>133</v>
      </c>
      <c r="B1110">
        <f t="shared" si="23"/>
        <v>-1</v>
      </c>
    </row>
    <row r="1111" spans="1:2" x14ac:dyDescent="0.3">
      <c r="A1111" t="s">
        <v>133</v>
      </c>
      <c r="B1111">
        <f t="shared" si="23"/>
        <v>-1</v>
      </c>
    </row>
    <row r="1112" spans="1:2" x14ac:dyDescent="0.3">
      <c r="A1112" t="s">
        <v>133</v>
      </c>
      <c r="B1112">
        <f t="shared" si="23"/>
        <v>-1</v>
      </c>
    </row>
    <row r="1113" spans="1:2" x14ac:dyDescent="0.3">
      <c r="A1113" t="s">
        <v>133</v>
      </c>
      <c r="B1113">
        <f t="shared" si="23"/>
        <v>-1</v>
      </c>
    </row>
    <row r="1114" spans="1:2" x14ac:dyDescent="0.3">
      <c r="A1114" t="s">
        <v>133</v>
      </c>
      <c r="B1114">
        <f t="shared" si="23"/>
        <v>-1</v>
      </c>
    </row>
    <row r="1115" spans="1:2" x14ac:dyDescent="0.3">
      <c r="A1115" t="s">
        <v>133</v>
      </c>
      <c r="B1115">
        <f t="shared" si="23"/>
        <v>-1</v>
      </c>
    </row>
    <row r="1116" spans="1:2" x14ac:dyDescent="0.3">
      <c r="A1116" t="s">
        <v>133</v>
      </c>
      <c r="B1116">
        <f t="shared" si="23"/>
        <v>-1</v>
      </c>
    </row>
    <row r="1117" spans="1:2" x14ac:dyDescent="0.3">
      <c r="A1117" t="s">
        <v>133</v>
      </c>
      <c r="B1117">
        <f t="shared" si="23"/>
        <v>-1</v>
      </c>
    </row>
    <row r="1118" spans="1:2" x14ac:dyDescent="0.3">
      <c r="A1118" t="s">
        <v>133</v>
      </c>
      <c r="B1118">
        <f t="shared" si="23"/>
        <v>-1</v>
      </c>
    </row>
    <row r="1119" spans="1:2" x14ac:dyDescent="0.3">
      <c r="A1119" t="s">
        <v>133</v>
      </c>
      <c r="B1119">
        <f t="shared" si="23"/>
        <v>-1</v>
      </c>
    </row>
    <row r="1120" spans="1:2" x14ac:dyDescent="0.3">
      <c r="A1120" t="s">
        <v>133</v>
      </c>
      <c r="B1120">
        <f t="shared" si="23"/>
        <v>-1</v>
      </c>
    </row>
    <row r="1121" spans="1:2" x14ac:dyDescent="0.3">
      <c r="A1121" t="s">
        <v>133</v>
      </c>
      <c r="B1121">
        <f t="shared" si="23"/>
        <v>-1</v>
      </c>
    </row>
    <row r="1122" spans="1:2" x14ac:dyDescent="0.3">
      <c r="A1122" t="s">
        <v>133</v>
      </c>
      <c r="B1122">
        <f t="shared" si="23"/>
        <v>-1</v>
      </c>
    </row>
    <row r="1123" spans="1:2" x14ac:dyDescent="0.3">
      <c r="A1123" t="s">
        <v>133</v>
      </c>
      <c r="B1123">
        <f t="shared" si="23"/>
        <v>-1</v>
      </c>
    </row>
    <row r="1124" spans="1:2" x14ac:dyDescent="0.3">
      <c r="A1124" t="s">
        <v>133</v>
      </c>
      <c r="B1124">
        <f t="shared" si="23"/>
        <v>-1</v>
      </c>
    </row>
    <row r="1125" spans="1:2" x14ac:dyDescent="0.3">
      <c r="A1125" t="s">
        <v>133</v>
      </c>
      <c r="B1125">
        <f t="shared" si="23"/>
        <v>-1</v>
      </c>
    </row>
    <row r="1126" spans="1:2" x14ac:dyDescent="0.3">
      <c r="A1126" t="s">
        <v>133</v>
      </c>
      <c r="B1126">
        <f t="shared" si="23"/>
        <v>-1</v>
      </c>
    </row>
    <row r="1127" spans="1:2" x14ac:dyDescent="0.3">
      <c r="A1127" t="s">
        <v>133</v>
      </c>
      <c r="B1127">
        <f t="shared" si="23"/>
        <v>-1</v>
      </c>
    </row>
    <row r="1128" spans="1:2" x14ac:dyDescent="0.3">
      <c r="A1128" t="s">
        <v>133</v>
      </c>
      <c r="B1128">
        <f t="shared" si="23"/>
        <v>-1</v>
      </c>
    </row>
    <row r="1129" spans="1:2" x14ac:dyDescent="0.3">
      <c r="A1129" t="s">
        <v>133</v>
      </c>
      <c r="B1129">
        <f t="shared" si="23"/>
        <v>-1</v>
      </c>
    </row>
    <row r="1130" spans="1:2" x14ac:dyDescent="0.3">
      <c r="A1130" t="s">
        <v>133</v>
      </c>
      <c r="B1130">
        <f t="shared" si="23"/>
        <v>-1</v>
      </c>
    </row>
    <row r="1131" spans="1:2" x14ac:dyDescent="0.3">
      <c r="A1131" t="s">
        <v>133</v>
      </c>
      <c r="B1131">
        <f t="shared" si="23"/>
        <v>-1</v>
      </c>
    </row>
    <row r="1132" spans="1:2" x14ac:dyDescent="0.3">
      <c r="A1132" t="s">
        <v>133</v>
      </c>
      <c r="B1132">
        <f t="shared" si="23"/>
        <v>-1</v>
      </c>
    </row>
    <row r="1133" spans="1:2" x14ac:dyDescent="0.3">
      <c r="A1133" t="s">
        <v>133</v>
      </c>
      <c r="B1133">
        <f t="shared" si="23"/>
        <v>-1</v>
      </c>
    </row>
    <row r="1134" spans="1:2" x14ac:dyDescent="0.3">
      <c r="A1134" t="s">
        <v>133</v>
      </c>
      <c r="B1134">
        <f t="shared" si="23"/>
        <v>-1</v>
      </c>
    </row>
    <row r="1135" spans="1:2" x14ac:dyDescent="0.3">
      <c r="A1135" t="s">
        <v>133</v>
      </c>
      <c r="B1135">
        <f t="shared" si="23"/>
        <v>-1</v>
      </c>
    </row>
    <row r="1136" spans="1:2" x14ac:dyDescent="0.3">
      <c r="A1136" t="s">
        <v>133</v>
      </c>
      <c r="B1136">
        <f t="shared" si="23"/>
        <v>-1</v>
      </c>
    </row>
    <row r="1137" spans="1:2" x14ac:dyDescent="0.3">
      <c r="A1137" t="s">
        <v>133</v>
      </c>
      <c r="B1137">
        <f t="shared" si="23"/>
        <v>-1</v>
      </c>
    </row>
    <row r="1138" spans="1:2" x14ac:dyDescent="0.3">
      <c r="A1138" t="s">
        <v>133</v>
      </c>
      <c r="B1138">
        <f t="shared" si="23"/>
        <v>-1</v>
      </c>
    </row>
    <row r="1139" spans="1:2" x14ac:dyDescent="0.3">
      <c r="A1139" t="s">
        <v>133</v>
      </c>
      <c r="B1139">
        <f t="shared" si="23"/>
        <v>-1</v>
      </c>
    </row>
    <row r="1140" spans="1:2" x14ac:dyDescent="0.3">
      <c r="A1140" t="s">
        <v>133</v>
      </c>
      <c r="B1140">
        <f t="shared" si="23"/>
        <v>-1</v>
      </c>
    </row>
    <row r="1141" spans="1:2" x14ac:dyDescent="0.3">
      <c r="A1141" t="s">
        <v>133</v>
      </c>
      <c r="B1141">
        <f t="shared" si="23"/>
        <v>-1</v>
      </c>
    </row>
    <row r="1142" spans="1:2" x14ac:dyDescent="0.3">
      <c r="A1142" t="s">
        <v>133</v>
      </c>
      <c r="B1142">
        <f t="shared" si="23"/>
        <v>-1</v>
      </c>
    </row>
    <row r="1143" spans="1:2" x14ac:dyDescent="0.3">
      <c r="A1143" t="s">
        <v>133</v>
      </c>
      <c r="B1143">
        <f t="shared" si="23"/>
        <v>-1</v>
      </c>
    </row>
    <row r="1144" spans="1:2" x14ac:dyDescent="0.3">
      <c r="A1144" t="s">
        <v>133</v>
      </c>
      <c r="B1144">
        <f t="shared" si="23"/>
        <v>-1</v>
      </c>
    </row>
    <row r="1145" spans="1:2" x14ac:dyDescent="0.3">
      <c r="A1145" t="s">
        <v>133</v>
      </c>
      <c r="B1145">
        <f t="shared" si="23"/>
        <v>-1</v>
      </c>
    </row>
    <row r="1146" spans="1:2" x14ac:dyDescent="0.3">
      <c r="A1146" t="s">
        <v>133</v>
      </c>
      <c r="B1146">
        <f t="shared" si="23"/>
        <v>-1</v>
      </c>
    </row>
    <row r="1147" spans="1:2" x14ac:dyDescent="0.3">
      <c r="A1147" t="s">
        <v>133</v>
      </c>
      <c r="B1147">
        <f t="shared" si="23"/>
        <v>-1</v>
      </c>
    </row>
    <row r="1148" spans="1:2" x14ac:dyDescent="0.3">
      <c r="A1148" t="s">
        <v>133</v>
      </c>
      <c r="B1148">
        <f t="shared" si="23"/>
        <v>-1</v>
      </c>
    </row>
    <row r="1149" spans="1:2" x14ac:dyDescent="0.3">
      <c r="A1149" t="s">
        <v>133</v>
      </c>
      <c r="B1149">
        <f t="shared" si="23"/>
        <v>-1</v>
      </c>
    </row>
    <row r="1150" spans="1:2" x14ac:dyDescent="0.3">
      <c r="A1150" t="s">
        <v>133</v>
      </c>
      <c r="B1150">
        <f t="shared" si="23"/>
        <v>-1</v>
      </c>
    </row>
    <row r="1151" spans="1:2" x14ac:dyDescent="0.3">
      <c r="A1151" t="s">
        <v>133</v>
      </c>
      <c r="B1151">
        <f t="shared" si="23"/>
        <v>-1</v>
      </c>
    </row>
    <row r="1152" spans="1:2" x14ac:dyDescent="0.3">
      <c r="A1152" t="s">
        <v>133</v>
      </c>
      <c r="B1152">
        <f t="shared" si="23"/>
        <v>-1</v>
      </c>
    </row>
    <row r="1153" spans="1:2" x14ac:dyDescent="0.3">
      <c r="A1153" t="s">
        <v>133</v>
      </c>
      <c r="B1153">
        <f t="shared" si="23"/>
        <v>-1</v>
      </c>
    </row>
    <row r="1154" spans="1:2" x14ac:dyDescent="0.3">
      <c r="A1154" t="s">
        <v>133</v>
      </c>
      <c r="B1154">
        <f t="shared" ref="B1154:B1217" si="24">-A1154</f>
        <v>-1</v>
      </c>
    </row>
    <row r="1155" spans="1:2" x14ac:dyDescent="0.3">
      <c r="A1155" t="s">
        <v>133</v>
      </c>
      <c r="B1155">
        <f t="shared" si="24"/>
        <v>-1</v>
      </c>
    </row>
    <row r="1156" spans="1:2" x14ac:dyDescent="0.3">
      <c r="A1156" t="s">
        <v>133</v>
      </c>
      <c r="B1156">
        <f t="shared" si="24"/>
        <v>-1</v>
      </c>
    </row>
    <row r="1157" spans="1:2" x14ac:dyDescent="0.3">
      <c r="A1157" t="s">
        <v>133</v>
      </c>
      <c r="B1157">
        <f t="shared" si="24"/>
        <v>-1</v>
      </c>
    </row>
    <row r="1158" spans="1:2" x14ac:dyDescent="0.3">
      <c r="A1158" t="s">
        <v>133</v>
      </c>
      <c r="B1158">
        <f t="shared" si="24"/>
        <v>-1</v>
      </c>
    </row>
    <row r="1159" spans="1:2" x14ac:dyDescent="0.3">
      <c r="A1159" t="s">
        <v>133</v>
      </c>
      <c r="B1159">
        <f t="shared" si="24"/>
        <v>-1</v>
      </c>
    </row>
    <row r="1160" spans="1:2" x14ac:dyDescent="0.3">
      <c r="A1160" t="s">
        <v>133</v>
      </c>
      <c r="B1160">
        <f t="shared" si="24"/>
        <v>-1</v>
      </c>
    </row>
    <row r="1161" spans="1:2" x14ac:dyDescent="0.3">
      <c r="A1161" t="s">
        <v>133</v>
      </c>
      <c r="B1161">
        <f t="shared" si="24"/>
        <v>-1</v>
      </c>
    </row>
    <row r="1162" spans="1:2" x14ac:dyDescent="0.3">
      <c r="A1162" t="s">
        <v>133</v>
      </c>
      <c r="B1162">
        <f t="shared" si="24"/>
        <v>-1</v>
      </c>
    </row>
    <row r="1163" spans="1:2" x14ac:dyDescent="0.3">
      <c r="A1163" t="s">
        <v>133</v>
      </c>
      <c r="B1163">
        <f t="shared" si="24"/>
        <v>-1</v>
      </c>
    </row>
    <row r="1164" spans="1:2" x14ac:dyDescent="0.3">
      <c r="A1164" t="s">
        <v>133</v>
      </c>
      <c r="B1164">
        <f t="shared" si="24"/>
        <v>-1</v>
      </c>
    </row>
    <row r="1165" spans="1:2" x14ac:dyDescent="0.3">
      <c r="A1165" t="s">
        <v>133</v>
      </c>
      <c r="B1165">
        <f t="shared" si="24"/>
        <v>-1</v>
      </c>
    </row>
    <row r="1166" spans="1:2" x14ac:dyDescent="0.3">
      <c r="A1166" t="s">
        <v>133</v>
      </c>
      <c r="B1166">
        <f t="shared" si="24"/>
        <v>-1</v>
      </c>
    </row>
    <row r="1167" spans="1:2" x14ac:dyDescent="0.3">
      <c r="A1167" t="s">
        <v>133</v>
      </c>
      <c r="B1167">
        <f t="shared" si="24"/>
        <v>-1</v>
      </c>
    </row>
    <row r="1168" spans="1:2" x14ac:dyDescent="0.3">
      <c r="A1168" t="s">
        <v>133</v>
      </c>
      <c r="B1168">
        <f t="shared" si="24"/>
        <v>-1</v>
      </c>
    </row>
    <row r="1169" spans="1:2" x14ac:dyDescent="0.3">
      <c r="A1169" t="s">
        <v>133</v>
      </c>
      <c r="B1169">
        <f t="shared" si="24"/>
        <v>-1</v>
      </c>
    </row>
    <row r="1170" spans="1:2" x14ac:dyDescent="0.3">
      <c r="A1170" t="s">
        <v>133</v>
      </c>
      <c r="B1170">
        <f t="shared" si="24"/>
        <v>-1</v>
      </c>
    </row>
    <row r="1171" spans="1:2" x14ac:dyDescent="0.3">
      <c r="A1171" t="s">
        <v>133</v>
      </c>
      <c r="B1171">
        <f t="shared" si="24"/>
        <v>-1</v>
      </c>
    </row>
    <row r="1172" spans="1:2" x14ac:dyDescent="0.3">
      <c r="A1172" t="s">
        <v>133</v>
      </c>
      <c r="B1172">
        <f t="shared" si="24"/>
        <v>-1</v>
      </c>
    </row>
    <row r="1173" spans="1:2" x14ac:dyDescent="0.3">
      <c r="A1173" t="s">
        <v>133</v>
      </c>
      <c r="B1173">
        <f t="shared" si="24"/>
        <v>-1</v>
      </c>
    </row>
    <row r="1174" spans="1:2" x14ac:dyDescent="0.3">
      <c r="A1174" t="s">
        <v>133</v>
      </c>
      <c r="B1174">
        <f t="shared" si="24"/>
        <v>-1</v>
      </c>
    </row>
    <row r="1175" spans="1:2" x14ac:dyDescent="0.3">
      <c r="A1175" t="s">
        <v>133</v>
      </c>
      <c r="B1175">
        <f t="shared" si="24"/>
        <v>-1</v>
      </c>
    </row>
    <row r="1176" spans="1:2" x14ac:dyDescent="0.3">
      <c r="A1176" t="s">
        <v>133</v>
      </c>
      <c r="B1176">
        <f t="shared" si="24"/>
        <v>-1</v>
      </c>
    </row>
    <row r="1177" spans="1:2" x14ac:dyDescent="0.3">
      <c r="A1177" t="s">
        <v>133</v>
      </c>
      <c r="B1177">
        <f t="shared" si="24"/>
        <v>-1</v>
      </c>
    </row>
    <row r="1178" spans="1:2" x14ac:dyDescent="0.3">
      <c r="A1178" t="s">
        <v>133</v>
      </c>
      <c r="B1178">
        <f t="shared" si="24"/>
        <v>-1</v>
      </c>
    </row>
    <row r="1179" spans="1:2" x14ac:dyDescent="0.3">
      <c r="A1179" t="s">
        <v>133</v>
      </c>
      <c r="B1179">
        <f t="shared" si="24"/>
        <v>-1</v>
      </c>
    </row>
    <row r="1180" spans="1:2" x14ac:dyDescent="0.3">
      <c r="A1180" t="s">
        <v>133</v>
      </c>
      <c r="B1180">
        <f t="shared" si="24"/>
        <v>-1</v>
      </c>
    </row>
    <row r="1181" spans="1:2" x14ac:dyDescent="0.3">
      <c r="A1181" t="s">
        <v>133</v>
      </c>
      <c r="B1181">
        <f t="shared" si="24"/>
        <v>-1</v>
      </c>
    </row>
    <row r="1182" spans="1:2" x14ac:dyDescent="0.3">
      <c r="A1182" t="s">
        <v>133</v>
      </c>
      <c r="B1182">
        <f t="shared" si="24"/>
        <v>-1</v>
      </c>
    </row>
    <row r="1183" spans="1:2" x14ac:dyDescent="0.3">
      <c r="A1183" t="s">
        <v>133</v>
      </c>
      <c r="B1183">
        <f t="shared" si="24"/>
        <v>-1</v>
      </c>
    </row>
    <row r="1184" spans="1:2" x14ac:dyDescent="0.3">
      <c r="A1184" t="s">
        <v>133</v>
      </c>
      <c r="B1184">
        <f t="shared" si="24"/>
        <v>-1</v>
      </c>
    </row>
    <row r="1185" spans="1:2" x14ac:dyDescent="0.3">
      <c r="A1185" t="s">
        <v>133</v>
      </c>
      <c r="B1185">
        <f t="shared" si="24"/>
        <v>-1</v>
      </c>
    </row>
    <row r="1186" spans="1:2" x14ac:dyDescent="0.3">
      <c r="A1186" t="s">
        <v>133</v>
      </c>
      <c r="B1186">
        <f t="shared" si="24"/>
        <v>-1</v>
      </c>
    </row>
    <row r="1187" spans="1:2" x14ac:dyDescent="0.3">
      <c r="A1187" t="s">
        <v>133</v>
      </c>
      <c r="B1187">
        <f t="shared" si="24"/>
        <v>-1</v>
      </c>
    </row>
    <row r="1188" spans="1:2" x14ac:dyDescent="0.3">
      <c r="A1188" t="s">
        <v>134</v>
      </c>
      <c r="B1188">
        <f t="shared" si="24"/>
        <v>-2</v>
      </c>
    </row>
    <row r="1189" spans="1:2" x14ac:dyDescent="0.3">
      <c r="A1189" t="s">
        <v>133</v>
      </c>
      <c r="B1189">
        <f t="shared" si="24"/>
        <v>-1</v>
      </c>
    </row>
    <row r="1190" spans="1:2" x14ac:dyDescent="0.3">
      <c r="A1190" t="s">
        <v>133</v>
      </c>
      <c r="B1190">
        <f t="shared" si="24"/>
        <v>-1</v>
      </c>
    </row>
    <row r="1191" spans="1:2" x14ac:dyDescent="0.3">
      <c r="A1191" t="s">
        <v>135</v>
      </c>
      <c r="B1191">
        <f t="shared" si="24"/>
        <v>-3</v>
      </c>
    </row>
    <row r="1192" spans="1:2" x14ac:dyDescent="0.3">
      <c r="A1192" t="s">
        <v>133</v>
      </c>
      <c r="B1192">
        <f t="shared" si="24"/>
        <v>-1</v>
      </c>
    </row>
    <row r="1193" spans="1:2" x14ac:dyDescent="0.3">
      <c r="A1193" t="s">
        <v>133</v>
      </c>
      <c r="B1193">
        <f t="shared" si="24"/>
        <v>-1</v>
      </c>
    </row>
    <row r="1194" spans="1:2" x14ac:dyDescent="0.3">
      <c r="A1194" t="s">
        <v>133</v>
      </c>
      <c r="B1194">
        <f t="shared" si="24"/>
        <v>-1</v>
      </c>
    </row>
    <row r="1195" spans="1:2" x14ac:dyDescent="0.3">
      <c r="A1195" t="s">
        <v>133</v>
      </c>
      <c r="B1195">
        <f t="shared" si="24"/>
        <v>-1</v>
      </c>
    </row>
    <row r="1196" spans="1:2" x14ac:dyDescent="0.3">
      <c r="A1196" t="s">
        <v>133</v>
      </c>
      <c r="B1196">
        <f t="shared" si="24"/>
        <v>-1</v>
      </c>
    </row>
    <row r="1197" spans="1:2" x14ac:dyDescent="0.3">
      <c r="A1197" t="s">
        <v>133</v>
      </c>
      <c r="B1197">
        <f t="shared" si="24"/>
        <v>-1</v>
      </c>
    </row>
    <row r="1198" spans="1:2" x14ac:dyDescent="0.3">
      <c r="A1198" t="s">
        <v>133</v>
      </c>
      <c r="B1198">
        <f t="shared" si="24"/>
        <v>-1</v>
      </c>
    </row>
    <row r="1199" spans="1:2" x14ac:dyDescent="0.3">
      <c r="A1199" t="s">
        <v>133</v>
      </c>
      <c r="B1199">
        <f t="shared" si="24"/>
        <v>-1</v>
      </c>
    </row>
    <row r="1200" spans="1:2" x14ac:dyDescent="0.3">
      <c r="A1200" t="s">
        <v>133</v>
      </c>
      <c r="B1200">
        <f t="shared" si="24"/>
        <v>-1</v>
      </c>
    </row>
    <row r="1201" spans="1:2" x14ac:dyDescent="0.3">
      <c r="A1201" t="s">
        <v>133</v>
      </c>
      <c r="B1201">
        <f t="shared" si="24"/>
        <v>-1</v>
      </c>
    </row>
    <row r="1202" spans="1:2" x14ac:dyDescent="0.3">
      <c r="A1202" t="s">
        <v>133</v>
      </c>
      <c r="B1202">
        <f t="shared" si="24"/>
        <v>-1</v>
      </c>
    </row>
    <row r="1203" spans="1:2" x14ac:dyDescent="0.3">
      <c r="A1203" t="s">
        <v>133</v>
      </c>
      <c r="B1203">
        <f t="shared" si="24"/>
        <v>-1</v>
      </c>
    </row>
    <row r="1204" spans="1:2" x14ac:dyDescent="0.3">
      <c r="A1204" t="s">
        <v>133</v>
      </c>
      <c r="B1204">
        <f t="shared" si="24"/>
        <v>-1</v>
      </c>
    </row>
    <row r="1205" spans="1:2" x14ac:dyDescent="0.3">
      <c r="A1205" t="s">
        <v>133</v>
      </c>
      <c r="B1205">
        <f t="shared" si="24"/>
        <v>-1</v>
      </c>
    </row>
    <row r="1206" spans="1:2" x14ac:dyDescent="0.3">
      <c r="A1206" t="s">
        <v>133</v>
      </c>
      <c r="B1206">
        <f t="shared" si="24"/>
        <v>-1</v>
      </c>
    </row>
    <row r="1207" spans="1:2" x14ac:dyDescent="0.3">
      <c r="A1207" t="s">
        <v>133</v>
      </c>
      <c r="B1207">
        <f t="shared" si="24"/>
        <v>-1</v>
      </c>
    </row>
    <row r="1208" spans="1:2" x14ac:dyDescent="0.3">
      <c r="A1208" t="s">
        <v>133</v>
      </c>
      <c r="B1208">
        <f t="shared" si="24"/>
        <v>-1</v>
      </c>
    </row>
    <row r="1209" spans="1:2" x14ac:dyDescent="0.3">
      <c r="A1209" t="s">
        <v>133</v>
      </c>
      <c r="B1209">
        <f t="shared" si="24"/>
        <v>-1</v>
      </c>
    </row>
    <row r="1210" spans="1:2" x14ac:dyDescent="0.3">
      <c r="A1210" t="s">
        <v>133</v>
      </c>
      <c r="B1210">
        <f t="shared" si="24"/>
        <v>-1</v>
      </c>
    </row>
    <row r="1211" spans="1:2" x14ac:dyDescent="0.3">
      <c r="A1211" t="s">
        <v>133</v>
      </c>
      <c r="B1211">
        <f t="shared" si="24"/>
        <v>-1</v>
      </c>
    </row>
    <row r="1212" spans="1:2" x14ac:dyDescent="0.3">
      <c r="A1212" t="s">
        <v>133</v>
      </c>
      <c r="B1212">
        <f t="shared" si="24"/>
        <v>-1</v>
      </c>
    </row>
    <row r="1213" spans="1:2" x14ac:dyDescent="0.3">
      <c r="A1213" t="s">
        <v>133</v>
      </c>
      <c r="B1213">
        <f t="shared" si="24"/>
        <v>-1</v>
      </c>
    </row>
    <row r="1214" spans="1:2" x14ac:dyDescent="0.3">
      <c r="A1214" t="s">
        <v>133</v>
      </c>
      <c r="B1214">
        <f t="shared" si="24"/>
        <v>-1</v>
      </c>
    </row>
    <row r="1215" spans="1:2" x14ac:dyDescent="0.3">
      <c r="A1215" t="s">
        <v>133</v>
      </c>
      <c r="B1215">
        <f t="shared" si="24"/>
        <v>-1</v>
      </c>
    </row>
    <row r="1216" spans="1:2" x14ac:dyDescent="0.3">
      <c r="A1216" t="s">
        <v>133</v>
      </c>
      <c r="B1216">
        <f t="shared" si="24"/>
        <v>-1</v>
      </c>
    </row>
    <row r="1217" spans="1:2" x14ac:dyDescent="0.3">
      <c r="A1217" t="s">
        <v>133</v>
      </c>
      <c r="B1217">
        <f t="shared" si="24"/>
        <v>-1</v>
      </c>
    </row>
    <row r="1218" spans="1:2" x14ac:dyDescent="0.3">
      <c r="A1218" t="s">
        <v>133</v>
      </c>
      <c r="B1218">
        <f t="shared" ref="B1218:B1281" si="25">-A1218</f>
        <v>-1</v>
      </c>
    </row>
    <row r="1219" spans="1:2" x14ac:dyDescent="0.3">
      <c r="A1219" t="s">
        <v>133</v>
      </c>
      <c r="B1219">
        <f t="shared" si="25"/>
        <v>-1</v>
      </c>
    </row>
    <row r="1220" spans="1:2" x14ac:dyDescent="0.3">
      <c r="A1220" t="s">
        <v>133</v>
      </c>
      <c r="B1220">
        <f t="shared" si="25"/>
        <v>-1</v>
      </c>
    </row>
    <row r="1221" spans="1:2" x14ac:dyDescent="0.3">
      <c r="A1221" t="s">
        <v>133</v>
      </c>
      <c r="B1221">
        <f t="shared" si="25"/>
        <v>-1</v>
      </c>
    </row>
    <row r="1222" spans="1:2" x14ac:dyDescent="0.3">
      <c r="A1222" t="s">
        <v>133</v>
      </c>
      <c r="B1222">
        <f t="shared" si="25"/>
        <v>-1</v>
      </c>
    </row>
    <row r="1223" spans="1:2" x14ac:dyDescent="0.3">
      <c r="A1223" t="s">
        <v>133</v>
      </c>
      <c r="B1223">
        <f t="shared" si="25"/>
        <v>-1</v>
      </c>
    </row>
    <row r="1224" spans="1:2" x14ac:dyDescent="0.3">
      <c r="A1224" t="s">
        <v>133</v>
      </c>
      <c r="B1224">
        <f t="shared" si="25"/>
        <v>-1</v>
      </c>
    </row>
    <row r="1225" spans="1:2" x14ac:dyDescent="0.3">
      <c r="A1225" t="s">
        <v>134</v>
      </c>
      <c r="B1225">
        <f t="shared" si="25"/>
        <v>-2</v>
      </c>
    </row>
    <row r="1226" spans="1:2" x14ac:dyDescent="0.3">
      <c r="A1226" t="s">
        <v>133</v>
      </c>
      <c r="B1226">
        <f t="shared" si="25"/>
        <v>-1</v>
      </c>
    </row>
    <row r="1227" spans="1:2" x14ac:dyDescent="0.3">
      <c r="A1227" t="s">
        <v>133</v>
      </c>
      <c r="B1227">
        <f t="shared" si="25"/>
        <v>-1</v>
      </c>
    </row>
    <row r="1228" spans="1:2" x14ac:dyDescent="0.3">
      <c r="A1228" t="s">
        <v>133</v>
      </c>
      <c r="B1228">
        <f t="shared" si="25"/>
        <v>-1</v>
      </c>
    </row>
    <row r="1229" spans="1:2" x14ac:dyDescent="0.3">
      <c r="A1229" t="s">
        <v>133</v>
      </c>
      <c r="B1229">
        <f t="shared" si="25"/>
        <v>-1</v>
      </c>
    </row>
    <row r="1230" spans="1:2" x14ac:dyDescent="0.3">
      <c r="A1230" t="s">
        <v>133</v>
      </c>
      <c r="B1230">
        <f t="shared" si="25"/>
        <v>-1</v>
      </c>
    </row>
    <row r="1231" spans="1:2" x14ac:dyDescent="0.3">
      <c r="A1231" t="s">
        <v>133</v>
      </c>
      <c r="B1231">
        <f t="shared" si="25"/>
        <v>-1</v>
      </c>
    </row>
    <row r="1232" spans="1:2" x14ac:dyDescent="0.3">
      <c r="A1232" t="s">
        <v>133</v>
      </c>
      <c r="B1232">
        <f t="shared" si="25"/>
        <v>-1</v>
      </c>
    </row>
    <row r="1233" spans="1:2" x14ac:dyDescent="0.3">
      <c r="A1233" t="s">
        <v>133</v>
      </c>
      <c r="B1233">
        <f t="shared" si="25"/>
        <v>-1</v>
      </c>
    </row>
    <row r="1234" spans="1:2" x14ac:dyDescent="0.3">
      <c r="A1234" t="s">
        <v>133</v>
      </c>
      <c r="B1234">
        <f t="shared" si="25"/>
        <v>-1</v>
      </c>
    </row>
    <row r="1235" spans="1:2" x14ac:dyDescent="0.3">
      <c r="A1235" t="s">
        <v>133</v>
      </c>
      <c r="B1235">
        <f t="shared" si="25"/>
        <v>-1</v>
      </c>
    </row>
    <row r="1236" spans="1:2" x14ac:dyDescent="0.3">
      <c r="A1236" t="s">
        <v>133</v>
      </c>
      <c r="B1236">
        <f t="shared" si="25"/>
        <v>-1</v>
      </c>
    </row>
    <row r="1237" spans="1:2" x14ac:dyDescent="0.3">
      <c r="A1237" t="s">
        <v>133</v>
      </c>
      <c r="B1237">
        <f t="shared" si="25"/>
        <v>-1</v>
      </c>
    </row>
    <row r="1238" spans="1:2" x14ac:dyDescent="0.3">
      <c r="A1238" t="s">
        <v>133</v>
      </c>
      <c r="B1238">
        <f t="shared" si="25"/>
        <v>-1</v>
      </c>
    </row>
    <row r="1239" spans="1:2" x14ac:dyDescent="0.3">
      <c r="A1239" t="s">
        <v>133</v>
      </c>
      <c r="B1239">
        <f t="shared" si="25"/>
        <v>-1</v>
      </c>
    </row>
    <row r="1240" spans="1:2" x14ac:dyDescent="0.3">
      <c r="A1240" t="s">
        <v>133</v>
      </c>
      <c r="B1240">
        <f t="shared" si="25"/>
        <v>-1</v>
      </c>
    </row>
    <row r="1241" spans="1:2" x14ac:dyDescent="0.3">
      <c r="A1241" t="s">
        <v>133</v>
      </c>
      <c r="B1241">
        <f t="shared" si="25"/>
        <v>-1</v>
      </c>
    </row>
    <row r="1242" spans="1:2" x14ac:dyDescent="0.3">
      <c r="A1242" t="s">
        <v>133</v>
      </c>
      <c r="B1242">
        <f t="shared" si="25"/>
        <v>-1</v>
      </c>
    </row>
    <row r="1243" spans="1:2" x14ac:dyDescent="0.3">
      <c r="A1243" t="s">
        <v>133</v>
      </c>
      <c r="B1243">
        <f t="shared" si="25"/>
        <v>-1</v>
      </c>
    </row>
    <row r="1244" spans="1:2" x14ac:dyDescent="0.3">
      <c r="A1244" t="s">
        <v>133</v>
      </c>
      <c r="B1244">
        <f t="shared" si="25"/>
        <v>-1</v>
      </c>
    </row>
    <row r="1245" spans="1:2" x14ac:dyDescent="0.3">
      <c r="A1245" t="s">
        <v>133</v>
      </c>
      <c r="B1245">
        <f t="shared" si="25"/>
        <v>-1</v>
      </c>
    </row>
    <row r="1246" spans="1:2" x14ac:dyDescent="0.3">
      <c r="A1246" t="s">
        <v>133</v>
      </c>
      <c r="B1246">
        <f t="shared" si="25"/>
        <v>-1</v>
      </c>
    </row>
    <row r="1247" spans="1:2" x14ac:dyDescent="0.3">
      <c r="A1247" t="s">
        <v>133</v>
      </c>
      <c r="B1247">
        <f t="shared" si="25"/>
        <v>-1</v>
      </c>
    </row>
    <row r="1248" spans="1:2" x14ac:dyDescent="0.3">
      <c r="A1248" t="s">
        <v>133</v>
      </c>
      <c r="B1248">
        <f t="shared" si="25"/>
        <v>-1</v>
      </c>
    </row>
    <row r="1249" spans="1:2" x14ac:dyDescent="0.3">
      <c r="A1249" t="s">
        <v>133</v>
      </c>
      <c r="B1249">
        <f t="shared" si="25"/>
        <v>-1</v>
      </c>
    </row>
    <row r="1250" spans="1:2" x14ac:dyDescent="0.3">
      <c r="A1250" t="s">
        <v>133</v>
      </c>
      <c r="B1250">
        <f t="shared" si="25"/>
        <v>-1</v>
      </c>
    </row>
    <row r="1251" spans="1:2" x14ac:dyDescent="0.3">
      <c r="A1251" t="s">
        <v>133</v>
      </c>
      <c r="B1251">
        <f t="shared" si="25"/>
        <v>-1</v>
      </c>
    </row>
    <row r="1252" spans="1:2" x14ac:dyDescent="0.3">
      <c r="A1252" t="s">
        <v>133</v>
      </c>
      <c r="B1252">
        <f t="shared" si="25"/>
        <v>-1</v>
      </c>
    </row>
    <row r="1253" spans="1:2" x14ac:dyDescent="0.3">
      <c r="A1253" t="s">
        <v>133</v>
      </c>
      <c r="B1253">
        <f t="shared" si="25"/>
        <v>-1</v>
      </c>
    </row>
    <row r="1254" spans="1:2" x14ac:dyDescent="0.3">
      <c r="A1254" t="s">
        <v>133</v>
      </c>
      <c r="B1254">
        <f t="shared" si="25"/>
        <v>-1</v>
      </c>
    </row>
    <row r="1255" spans="1:2" x14ac:dyDescent="0.3">
      <c r="A1255" t="s">
        <v>133</v>
      </c>
      <c r="B1255">
        <f t="shared" si="25"/>
        <v>-1</v>
      </c>
    </row>
    <row r="1256" spans="1:2" x14ac:dyDescent="0.3">
      <c r="A1256" t="s">
        <v>133</v>
      </c>
      <c r="B1256">
        <f t="shared" si="25"/>
        <v>-1</v>
      </c>
    </row>
    <row r="1257" spans="1:2" x14ac:dyDescent="0.3">
      <c r="A1257" t="s">
        <v>133</v>
      </c>
      <c r="B1257">
        <f t="shared" si="25"/>
        <v>-1</v>
      </c>
    </row>
    <row r="1258" spans="1:2" x14ac:dyDescent="0.3">
      <c r="A1258" t="s">
        <v>133</v>
      </c>
      <c r="B1258">
        <f t="shared" si="25"/>
        <v>-1</v>
      </c>
    </row>
    <row r="1259" spans="1:2" x14ac:dyDescent="0.3">
      <c r="A1259" t="s">
        <v>133</v>
      </c>
      <c r="B1259">
        <f t="shared" si="25"/>
        <v>-1</v>
      </c>
    </row>
    <row r="1260" spans="1:2" x14ac:dyDescent="0.3">
      <c r="A1260" t="s">
        <v>133</v>
      </c>
      <c r="B1260">
        <f t="shared" si="25"/>
        <v>-1</v>
      </c>
    </row>
    <row r="1261" spans="1:2" x14ac:dyDescent="0.3">
      <c r="A1261" t="s">
        <v>133</v>
      </c>
      <c r="B1261">
        <f t="shared" si="25"/>
        <v>-1</v>
      </c>
    </row>
    <row r="1262" spans="1:2" x14ac:dyDescent="0.3">
      <c r="A1262" t="s">
        <v>133</v>
      </c>
      <c r="B1262">
        <f t="shared" si="25"/>
        <v>-1</v>
      </c>
    </row>
    <row r="1263" spans="1:2" x14ac:dyDescent="0.3">
      <c r="A1263" t="s">
        <v>133</v>
      </c>
      <c r="B1263">
        <f t="shared" si="25"/>
        <v>-1</v>
      </c>
    </row>
    <row r="1264" spans="1:2" x14ac:dyDescent="0.3">
      <c r="A1264" t="s">
        <v>133</v>
      </c>
      <c r="B1264">
        <f t="shared" si="25"/>
        <v>-1</v>
      </c>
    </row>
    <row r="1265" spans="1:2" x14ac:dyDescent="0.3">
      <c r="A1265" t="s">
        <v>133</v>
      </c>
      <c r="B1265">
        <f t="shared" si="25"/>
        <v>-1</v>
      </c>
    </row>
    <row r="1266" spans="1:2" x14ac:dyDescent="0.3">
      <c r="A1266" t="s">
        <v>133</v>
      </c>
      <c r="B1266">
        <f t="shared" si="25"/>
        <v>-1</v>
      </c>
    </row>
    <row r="1267" spans="1:2" x14ac:dyDescent="0.3">
      <c r="A1267" t="s">
        <v>133</v>
      </c>
      <c r="B1267">
        <f t="shared" si="25"/>
        <v>-1</v>
      </c>
    </row>
    <row r="1268" spans="1:2" x14ac:dyDescent="0.3">
      <c r="A1268" t="s">
        <v>133</v>
      </c>
      <c r="B1268">
        <f t="shared" si="25"/>
        <v>-1</v>
      </c>
    </row>
    <row r="1269" spans="1:2" x14ac:dyDescent="0.3">
      <c r="A1269" t="s">
        <v>133</v>
      </c>
      <c r="B1269">
        <f t="shared" si="25"/>
        <v>-1</v>
      </c>
    </row>
    <row r="1270" spans="1:2" x14ac:dyDescent="0.3">
      <c r="A1270" t="s">
        <v>133</v>
      </c>
      <c r="B1270">
        <f t="shared" si="25"/>
        <v>-1</v>
      </c>
    </row>
    <row r="1271" spans="1:2" x14ac:dyDescent="0.3">
      <c r="A1271" t="s">
        <v>133</v>
      </c>
      <c r="B1271">
        <f t="shared" si="25"/>
        <v>-1</v>
      </c>
    </row>
    <row r="1272" spans="1:2" x14ac:dyDescent="0.3">
      <c r="A1272" t="s">
        <v>133</v>
      </c>
      <c r="B1272">
        <f t="shared" si="25"/>
        <v>-1</v>
      </c>
    </row>
    <row r="1273" spans="1:2" x14ac:dyDescent="0.3">
      <c r="A1273" t="s">
        <v>133</v>
      </c>
      <c r="B1273">
        <f t="shared" si="25"/>
        <v>-1</v>
      </c>
    </row>
    <row r="1274" spans="1:2" x14ac:dyDescent="0.3">
      <c r="A1274" t="s">
        <v>133</v>
      </c>
      <c r="B1274">
        <f t="shared" si="25"/>
        <v>-1</v>
      </c>
    </row>
    <row r="1275" spans="1:2" x14ac:dyDescent="0.3">
      <c r="A1275" t="s">
        <v>133</v>
      </c>
      <c r="B1275">
        <f t="shared" si="25"/>
        <v>-1</v>
      </c>
    </row>
    <row r="1276" spans="1:2" x14ac:dyDescent="0.3">
      <c r="A1276" t="s">
        <v>133</v>
      </c>
      <c r="B1276">
        <f t="shared" si="25"/>
        <v>-1</v>
      </c>
    </row>
    <row r="1277" spans="1:2" x14ac:dyDescent="0.3">
      <c r="A1277" t="s">
        <v>133</v>
      </c>
      <c r="B1277">
        <f t="shared" si="25"/>
        <v>-1</v>
      </c>
    </row>
    <row r="1278" spans="1:2" x14ac:dyDescent="0.3">
      <c r="A1278" t="s">
        <v>133</v>
      </c>
      <c r="B1278">
        <f t="shared" si="25"/>
        <v>-1</v>
      </c>
    </row>
    <row r="1279" spans="1:2" x14ac:dyDescent="0.3">
      <c r="A1279" t="s">
        <v>133</v>
      </c>
      <c r="B1279">
        <f t="shared" si="25"/>
        <v>-1</v>
      </c>
    </row>
    <row r="1280" spans="1:2" x14ac:dyDescent="0.3">
      <c r="A1280" t="s">
        <v>133</v>
      </c>
      <c r="B1280">
        <f t="shared" si="25"/>
        <v>-1</v>
      </c>
    </row>
    <row r="1281" spans="1:2" x14ac:dyDescent="0.3">
      <c r="A1281" t="s">
        <v>133</v>
      </c>
      <c r="B1281">
        <f t="shared" si="25"/>
        <v>-1</v>
      </c>
    </row>
    <row r="1282" spans="1:2" x14ac:dyDescent="0.3">
      <c r="A1282" t="s">
        <v>133</v>
      </c>
      <c r="B1282">
        <f t="shared" ref="B1282:B1345" si="26">-A1282</f>
        <v>-1</v>
      </c>
    </row>
    <row r="1283" spans="1:2" x14ac:dyDescent="0.3">
      <c r="A1283" t="s">
        <v>133</v>
      </c>
      <c r="B1283">
        <f t="shared" si="26"/>
        <v>-1</v>
      </c>
    </row>
    <row r="1284" spans="1:2" x14ac:dyDescent="0.3">
      <c r="A1284" t="s">
        <v>133</v>
      </c>
      <c r="B1284">
        <f t="shared" si="26"/>
        <v>-1</v>
      </c>
    </row>
    <row r="1285" spans="1:2" x14ac:dyDescent="0.3">
      <c r="A1285" t="s">
        <v>133</v>
      </c>
      <c r="B1285">
        <f t="shared" si="26"/>
        <v>-1</v>
      </c>
    </row>
    <row r="1286" spans="1:2" x14ac:dyDescent="0.3">
      <c r="A1286" t="s">
        <v>133</v>
      </c>
      <c r="B1286">
        <f t="shared" si="26"/>
        <v>-1</v>
      </c>
    </row>
    <row r="1287" spans="1:2" x14ac:dyDescent="0.3">
      <c r="A1287" t="s">
        <v>133</v>
      </c>
      <c r="B1287">
        <f t="shared" si="26"/>
        <v>-1</v>
      </c>
    </row>
    <row r="1288" spans="1:2" x14ac:dyDescent="0.3">
      <c r="A1288" t="s">
        <v>133</v>
      </c>
      <c r="B1288">
        <f t="shared" si="26"/>
        <v>-1</v>
      </c>
    </row>
    <row r="1289" spans="1:2" x14ac:dyDescent="0.3">
      <c r="A1289" t="s">
        <v>133</v>
      </c>
      <c r="B1289">
        <f t="shared" si="26"/>
        <v>-1</v>
      </c>
    </row>
    <row r="1290" spans="1:2" x14ac:dyDescent="0.3">
      <c r="A1290" t="s">
        <v>133</v>
      </c>
      <c r="B1290">
        <f t="shared" si="26"/>
        <v>-1</v>
      </c>
    </row>
    <row r="1291" spans="1:2" x14ac:dyDescent="0.3">
      <c r="A1291" t="s">
        <v>133</v>
      </c>
      <c r="B1291">
        <f t="shared" si="26"/>
        <v>-1</v>
      </c>
    </row>
    <row r="1292" spans="1:2" x14ac:dyDescent="0.3">
      <c r="A1292" t="s">
        <v>133</v>
      </c>
      <c r="B1292">
        <f t="shared" si="26"/>
        <v>-1</v>
      </c>
    </row>
    <row r="1293" spans="1:2" x14ac:dyDescent="0.3">
      <c r="A1293" t="s">
        <v>133</v>
      </c>
      <c r="B1293">
        <f t="shared" si="26"/>
        <v>-1</v>
      </c>
    </row>
    <row r="1294" spans="1:2" x14ac:dyDescent="0.3">
      <c r="A1294" t="s">
        <v>133</v>
      </c>
      <c r="B1294">
        <f t="shared" si="26"/>
        <v>-1</v>
      </c>
    </row>
    <row r="1295" spans="1:2" x14ac:dyDescent="0.3">
      <c r="A1295" t="s">
        <v>133</v>
      </c>
      <c r="B1295">
        <f t="shared" si="26"/>
        <v>-1</v>
      </c>
    </row>
    <row r="1296" spans="1:2" x14ac:dyDescent="0.3">
      <c r="A1296" t="s">
        <v>133</v>
      </c>
      <c r="B1296">
        <f t="shared" si="26"/>
        <v>-1</v>
      </c>
    </row>
    <row r="1297" spans="1:2" x14ac:dyDescent="0.3">
      <c r="A1297" t="s">
        <v>133</v>
      </c>
      <c r="B1297">
        <f t="shared" si="26"/>
        <v>-1</v>
      </c>
    </row>
    <row r="1298" spans="1:2" x14ac:dyDescent="0.3">
      <c r="A1298" t="s">
        <v>133</v>
      </c>
      <c r="B1298">
        <f t="shared" si="26"/>
        <v>-1</v>
      </c>
    </row>
    <row r="1299" spans="1:2" x14ac:dyDescent="0.3">
      <c r="A1299" t="s">
        <v>133</v>
      </c>
      <c r="B1299">
        <f t="shared" si="26"/>
        <v>-1</v>
      </c>
    </row>
    <row r="1300" spans="1:2" x14ac:dyDescent="0.3">
      <c r="A1300" t="s">
        <v>133</v>
      </c>
      <c r="B1300">
        <f t="shared" si="26"/>
        <v>-1</v>
      </c>
    </row>
    <row r="1301" spans="1:2" x14ac:dyDescent="0.3">
      <c r="A1301" t="s">
        <v>133</v>
      </c>
      <c r="B1301">
        <f t="shared" si="26"/>
        <v>-1</v>
      </c>
    </row>
    <row r="1302" spans="1:2" x14ac:dyDescent="0.3">
      <c r="A1302" t="s">
        <v>133</v>
      </c>
      <c r="B1302">
        <f t="shared" si="26"/>
        <v>-1</v>
      </c>
    </row>
    <row r="1303" spans="1:2" x14ac:dyDescent="0.3">
      <c r="A1303" t="s">
        <v>133</v>
      </c>
      <c r="B1303">
        <f t="shared" si="26"/>
        <v>-1</v>
      </c>
    </row>
    <row r="1304" spans="1:2" x14ac:dyDescent="0.3">
      <c r="A1304" t="s">
        <v>133</v>
      </c>
      <c r="B1304">
        <f t="shared" si="26"/>
        <v>-1</v>
      </c>
    </row>
    <row r="1305" spans="1:2" x14ac:dyDescent="0.3">
      <c r="A1305" t="s">
        <v>133</v>
      </c>
      <c r="B1305">
        <f t="shared" si="26"/>
        <v>-1</v>
      </c>
    </row>
    <row r="1306" spans="1:2" x14ac:dyDescent="0.3">
      <c r="A1306" t="s">
        <v>133</v>
      </c>
      <c r="B1306">
        <f t="shared" si="26"/>
        <v>-1</v>
      </c>
    </row>
    <row r="1307" spans="1:2" x14ac:dyDescent="0.3">
      <c r="A1307" t="s">
        <v>133</v>
      </c>
      <c r="B1307">
        <f t="shared" si="26"/>
        <v>-1</v>
      </c>
    </row>
    <row r="1308" spans="1:2" x14ac:dyDescent="0.3">
      <c r="A1308" t="s">
        <v>133</v>
      </c>
      <c r="B1308">
        <f t="shared" si="26"/>
        <v>-1</v>
      </c>
    </row>
    <row r="1309" spans="1:2" x14ac:dyDescent="0.3">
      <c r="A1309" t="s">
        <v>133</v>
      </c>
      <c r="B1309">
        <f t="shared" si="26"/>
        <v>-1</v>
      </c>
    </row>
    <row r="1310" spans="1:2" x14ac:dyDescent="0.3">
      <c r="A1310" t="s">
        <v>133</v>
      </c>
      <c r="B1310">
        <f t="shared" si="26"/>
        <v>-1</v>
      </c>
    </row>
    <row r="1311" spans="1:2" x14ac:dyDescent="0.3">
      <c r="A1311" t="s">
        <v>133</v>
      </c>
      <c r="B1311">
        <f t="shared" si="26"/>
        <v>-1</v>
      </c>
    </row>
    <row r="1312" spans="1:2" x14ac:dyDescent="0.3">
      <c r="A1312" t="s">
        <v>133</v>
      </c>
      <c r="B1312">
        <f t="shared" si="26"/>
        <v>-1</v>
      </c>
    </row>
    <row r="1313" spans="1:2" x14ac:dyDescent="0.3">
      <c r="A1313" t="s">
        <v>133</v>
      </c>
      <c r="B1313">
        <f t="shared" si="26"/>
        <v>-1</v>
      </c>
    </row>
    <row r="1314" spans="1:2" x14ac:dyDescent="0.3">
      <c r="A1314" t="s">
        <v>133</v>
      </c>
      <c r="B1314">
        <f t="shared" si="26"/>
        <v>-1</v>
      </c>
    </row>
    <row r="1315" spans="1:2" x14ac:dyDescent="0.3">
      <c r="A1315" t="s">
        <v>133</v>
      </c>
      <c r="B1315">
        <f t="shared" si="26"/>
        <v>-1</v>
      </c>
    </row>
    <row r="1316" spans="1:2" x14ac:dyDescent="0.3">
      <c r="A1316" t="s">
        <v>133</v>
      </c>
      <c r="B1316">
        <f t="shared" si="26"/>
        <v>-1</v>
      </c>
    </row>
    <row r="1317" spans="1:2" x14ac:dyDescent="0.3">
      <c r="A1317" t="s">
        <v>133</v>
      </c>
      <c r="B1317">
        <f t="shared" si="26"/>
        <v>-1</v>
      </c>
    </row>
    <row r="1318" spans="1:2" x14ac:dyDescent="0.3">
      <c r="A1318" t="s">
        <v>133</v>
      </c>
      <c r="B1318">
        <f t="shared" si="26"/>
        <v>-1</v>
      </c>
    </row>
    <row r="1319" spans="1:2" x14ac:dyDescent="0.3">
      <c r="A1319" t="s">
        <v>133</v>
      </c>
      <c r="B1319">
        <f t="shared" si="26"/>
        <v>-1</v>
      </c>
    </row>
    <row r="1320" spans="1:2" x14ac:dyDescent="0.3">
      <c r="A1320" t="s">
        <v>133</v>
      </c>
      <c r="B1320">
        <f t="shared" si="26"/>
        <v>-1</v>
      </c>
    </row>
    <row r="1321" spans="1:2" x14ac:dyDescent="0.3">
      <c r="A1321" t="s">
        <v>133</v>
      </c>
      <c r="B1321">
        <f t="shared" si="26"/>
        <v>-1</v>
      </c>
    </row>
    <row r="1322" spans="1:2" x14ac:dyDescent="0.3">
      <c r="A1322" t="s">
        <v>133</v>
      </c>
      <c r="B1322">
        <f t="shared" si="26"/>
        <v>-1</v>
      </c>
    </row>
    <row r="1323" spans="1:2" x14ac:dyDescent="0.3">
      <c r="A1323" t="s">
        <v>133</v>
      </c>
      <c r="B1323">
        <f t="shared" si="26"/>
        <v>-1</v>
      </c>
    </row>
    <row r="1324" spans="1:2" x14ac:dyDescent="0.3">
      <c r="A1324" t="s">
        <v>133</v>
      </c>
      <c r="B1324">
        <f t="shared" si="26"/>
        <v>-1</v>
      </c>
    </row>
    <row r="1325" spans="1:2" x14ac:dyDescent="0.3">
      <c r="A1325" t="s">
        <v>133</v>
      </c>
      <c r="B1325">
        <f t="shared" si="26"/>
        <v>-1</v>
      </c>
    </row>
    <row r="1326" spans="1:2" x14ac:dyDescent="0.3">
      <c r="A1326" t="s">
        <v>133</v>
      </c>
      <c r="B1326">
        <f t="shared" si="26"/>
        <v>-1</v>
      </c>
    </row>
    <row r="1327" spans="1:2" x14ac:dyDescent="0.3">
      <c r="A1327" t="s">
        <v>133</v>
      </c>
      <c r="B1327">
        <f t="shared" si="26"/>
        <v>-1</v>
      </c>
    </row>
    <row r="1328" spans="1:2" x14ac:dyDescent="0.3">
      <c r="A1328" t="s">
        <v>133</v>
      </c>
      <c r="B1328">
        <f t="shared" si="26"/>
        <v>-1</v>
      </c>
    </row>
    <row r="1329" spans="1:2" x14ac:dyDescent="0.3">
      <c r="A1329" t="s">
        <v>133</v>
      </c>
      <c r="B1329">
        <f t="shared" si="26"/>
        <v>-1</v>
      </c>
    </row>
    <row r="1330" spans="1:2" x14ac:dyDescent="0.3">
      <c r="A1330" t="s">
        <v>133</v>
      </c>
      <c r="B1330">
        <f t="shared" si="26"/>
        <v>-1</v>
      </c>
    </row>
    <row r="1331" spans="1:2" x14ac:dyDescent="0.3">
      <c r="A1331" t="s">
        <v>133</v>
      </c>
      <c r="B1331">
        <f t="shared" si="26"/>
        <v>-1</v>
      </c>
    </row>
    <row r="1332" spans="1:2" x14ac:dyDescent="0.3">
      <c r="A1332" t="s">
        <v>133</v>
      </c>
      <c r="B1332">
        <f t="shared" si="26"/>
        <v>-1</v>
      </c>
    </row>
    <row r="1333" spans="1:2" x14ac:dyDescent="0.3">
      <c r="A1333" t="s">
        <v>133</v>
      </c>
      <c r="B1333">
        <f t="shared" si="26"/>
        <v>-1</v>
      </c>
    </row>
    <row r="1334" spans="1:2" x14ac:dyDescent="0.3">
      <c r="A1334" t="s">
        <v>133</v>
      </c>
      <c r="B1334">
        <f t="shared" si="26"/>
        <v>-1</v>
      </c>
    </row>
    <row r="1335" spans="1:2" x14ac:dyDescent="0.3">
      <c r="A1335" t="s">
        <v>133</v>
      </c>
      <c r="B1335">
        <f t="shared" si="26"/>
        <v>-1</v>
      </c>
    </row>
    <row r="1336" spans="1:2" x14ac:dyDescent="0.3">
      <c r="A1336" t="s">
        <v>133</v>
      </c>
      <c r="B1336">
        <f t="shared" si="26"/>
        <v>-1</v>
      </c>
    </row>
    <row r="1337" spans="1:2" x14ac:dyDescent="0.3">
      <c r="A1337" t="s">
        <v>133</v>
      </c>
      <c r="B1337">
        <f t="shared" si="26"/>
        <v>-1</v>
      </c>
    </row>
    <row r="1338" spans="1:2" x14ac:dyDescent="0.3">
      <c r="A1338" t="s">
        <v>133</v>
      </c>
      <c r="B1338">
        <f t="shared" si="26"/>
        <v>-1</v>
      </c>
    </row>
    <row r="1339" spans="1:2" x14ac:dyDescent="0.3">
      <c r="A1339" t="s">
        <v>133</v>
      </c>
      <c r="B1339">
        <f t="shared" si="26"/>
        <v>-1</v>
      </c>
    </row>
    <row r="1340" spans="1:2" x14ac:dyDescent="0.3">
      <c r="A1340" t="s">
        <v>133</v>
      </c>
      <c r="B1340">
        <f t="shared" si="26"/>
        <v>-1</v>
      </c>
    </row>
    <row r="1341" spans="1:2" x14ac:dyDescent="0.3">
      <c r="A1341" t="s">
        <v>133</v>
      </c>
      <c r="B1341">
        <f t="shared" si="26"/>
        <v>-1</v>
      </c>
    </row>
    <row r="1342" spans="1:2" x14ac:dyDescent="0.3">
      <c r="A1342" t="s">
        <v>133</v>
      </c>
      <c r="B1342">
        <f t="shared" si="26"/>
        <v>-1</v>
      </c>
    </row>
    <row r="1343" spans="1:2" x14ac:dyDescent="0.3">
      <c r="A1343" t="s">
        <v>133</v>
      </c>
      <c r="B1343">
        <f t="shared" si="26"/>
        <v>-1</v>
      </c>
    </row>
    <row r="1344" spans="1:2" x14ac:dyDescent="0.3">
      <c r="A1344" t="s">
        <v>133</v>
      </c>
      <c r="B1344">
        <f t="shared" si="26"/>
        <v>-1</v>
      </c>
    </row>
    <row r="1345" spans="1:2" x14ac:dyDescent="0.3">
      <c r="A1345" t="s">
        <v>133</v>
      </c>
      <c r="B1345">
        <f t="shared" si="26"/>
        <v>-1</v>
      </c>
    </row>
    <row r="1346" spans="1:2" x14ac:dyDescent="0.3">
      <c r="A1346" t="s">
        <v>133</v>
      </c>
      <c r="B1346">
        <f t="shared" ref="B1346:B1409" si="27">-A1346</f>
        <v>-1</v>
      </c>
    </row>
    <row r="1347" spans="1:2" x14ac:dyDescent="0.3">
      <c r="A1347" t="s">
        <v>133</v>
      </c>
      <c r="B1347">
        <f t="shared" si="27"/>
        <v>-1</v>
      </c>
    </row>
    <row r="1348" spans="1:2" x14ac:dyDescent="0.3">
      <c r="A1348" t="s">
        <v>133</v>
      </c>
      <c r="B1348">
        <f t="shared" si="27"/>
        <v>-1</v>
      </c>
    </row>
    <row r="1349" spans="1:2" x14ac:dyDescent="0.3">
      <c r="A1349" t="s">
        <v>133</v>
      </c>
      <c r="B1349">
        <f t="shared" si="27"/>
        <v>-1</v>
      </c>
    </row>
    <row r="1350" spans="1:2" x14ac:dyDescent="0.3">
      <c r="A1350" t="s">
        <v>133</v>
      </c>
      <c r="B1350">
        <f t="shared" si="27"/>
        <v>-1</v>
      </c>
    </row>
    <row r="1351" spans="1:2" x14ac:dyDescent="0.3">
      <c r="A1351" t="s">
        <v>133</v>
      </c>
      <c r="B1351">
        <f t="shared" si="27"/>
        <v>-1</v>
      </c>
    </row>
    <row r="1352" spans="1:2" x14ac:dyDescent="0.3">
      <c r="A1352" t="s">
        <v>133</v>
      </c>
      <c r="B1352">
        <f t="shared" si="27"/>
        <v>-1</v>
      </c>
    </row>
    <row r="1353" spans="1:2" x14ac:dyDescent="0.3">
      <c r="A1353" t="s">
        <v>133</v>
      </c>
      <c r="B1353">
        <f t="shared" si="27"/>
        <v>-1</v>
      </c>
    </row>
    <row r="1354" spans="1:2" x14ac:dyDescent="0.3">
      <c r="A1354" t="s">
        <v>133</v>
      </c>
      <c r="B1354">
        <f t="shared" si="27"/>
        <v>-1</v>
      </c>
    </row>
    <row r="1355" spans="1:2" x14ac:dyDescent="0.3">
      <c r="A1355" t="s">
        <v>133</v>
      </c>
      <c r="B1355">
        <f t="shared" si="27"/>
        <v>-1</v>
      </c>
    </row>
    <row r="1356" spans="1:2" x14ac:dyDescent="0.3">
      <c r="A1356" t="s">
        <v>133</v>
      </c>
      <c r="B1356">
        <f t="shared" si="27"/>
        <v>-1</v>
      </c>
    </row>
    <row r="1357" spans="1:2" x14ac:dyDescent="0.3">
      <c r="A1357" t="s">
        <v>133</v>
      </c>
      <c r="B1357">
        <f t="shared" si="27"/>
        <v>-1</v>
      </c>
    </row>
    <row r="1358" spans="1:2" x14ac:dyDescent="0.3">
      <c r="A1358" t="s">
        <v>133</v>
      </c>
      <c r="B1358">
        <f t="shared" si="27"/>
        <v>-1</v>
      </c>
    </row>
    <row r="1359" spans="1:2" x14ac:dyDescent="0.3">
      <c r="A1359" t="s">
        <v>133</v>
      </c>
      <c r="B1359">
        <f t="shared" si="27"/>
        <v>-1</v>
      </c>
    </row>
    <row r="1360" spans="1:2" x14ac:dyDescent="0.3">
      <c r="A1360" t="s">
        <v>133</v>
      </c>
      <c r="B1360">
        <f t="shared" si="27"/>
        <v>-1</v>
      </c>
    </row>
    <row r="1361" spans="1:2" x14ac:dyDescent="0.3">
      <c r="A1361" t="s">
        <v>133</v>
      </c>
      <c r="B1361">
        <f t="shared" si="27"/>
        <v>-1</v>
      </c>
    </row>
    <row r="1362" spans="1:2" x14ac:dyDescent="0.3">
      <c r="A1362" t="s">
        <v>133</v>
      </c>
      <c r="B1362">
        <f t="shared" si="27"/>
        <v>-1</v>
      </c>
    </row>
    <row r="1363" spans="1:2" x14ac:dyDescent="0.3">
      <c r="A1363" t="s">
        <v>133</v>
      </c>
      <c r="B1363">
        <f t="shared" si="27"/>
        <v>-1</v>
      </c>
    </row>
    <row r="1364" spans="1:2" x14ac:dyDescent="0.3">
      <c r="A1364" t="s">
        <v>133</v>
      </c>
      <c r="B1364">
        <f t="shared" si="27"/>
        <v>-1</v>
      </c>
    </row>
    <row r="1365" spans="1:2" x14ac:dyDescent="0.3">
      <c r="A1365" t="s">
        <v>133</v>
      </c>
      <c r="B1365">
        <f t="shared" si="27"/>
        <v>-1</v>
      </c>
    </row>
    <row r="1366" spans="1:2" x14ac:dyDescent="0.3">
      <c r="A1366" t="s">
        <v>133</v>
      </c>
      <c r="B1366">
        <f t="shared" si="27"/>
        <v>-1</v>
      </c>
    </row>
    <row r="1367" spans="1:2" x14ac:dyDescent="0.3">
      <c r="A1367" t="s">
        <v>133</v>
      </c>
      <c r="B1367">
        <f t="shared" si="27"/>
        <v>-1</v>
      </c>
    </row>
    <row r="1368" spans="1:2" x14ac:dyDescent="0.3">
      <c r="A1368" t="s">
        <v>133</v>
      </c>
      <c r="B1368">
        <f t="shared" si="27"/>
        <v>-1</v>
      </c>
    </row>
    <row r="1369" spans="1:2" x14ac:dyDescent="0.3">
      <c r="A1369" t="s">
        <v>133</v>
      </c>
      <c r="B1369">
        <f t="shared" si="27"/>
        <v>-1</v>
      </c>
    </row>
    <row r="1370" spans="1:2" x14ac:dyDescent="0.3">
      <c r="A1370" t="s">
        <v>133</v>
      </c>
      <c r="B1370">
        <f t="shared" si="27"/>
        <v>-1</v>
      </c>
    </row>
    <row r="1371" spans="1:2" x14ac:dyDescent="0.3">
      <c r="A1371" t="s">
        <v>133</v>
      </c>
      <c r="B1371">
        <f t="shared" si="27"/>
        <v>-1</v>
      </c>
    </row>
    <row r="1372" spans="1:2" x14ac:dyDescent="0.3">
      <c r="A1372" t="s">
        <v>133</v>
      </c>
      <c r="B1372">
        <f t="shared" si="27"/>
        <v>-1</v>
      </c>
    </row>
    <row r="1373" spans="1:2" x14ac:dyDescent="0.3">
      <c r="A1373" t="s">
        <v>133</v>
      </c>
      <c r="B1373">
        <f t="shared" si="27"/>
        <v>-1</v>
      </c>
    </row>
    <row r="1374" spans="1:2" x14ac:dyDescent="0.3">
      <c r="A1374" t="s">
        <v>133</v>
      </c>
      <c r="B1374">
        <f t="shared" si="27"/>
        <v>-1</v>
      </c>
    </row>
    <row r="1375" spans="1:2" x14ac:dyDescent="0.3">
      <c r="A1375" t="s">
        <v>133</v>
      </c>
      <c r="B1375">
        <f t="shared" si="27"/>
        <v>-1</v>
      </c>
    </row>
    <row r="1376" spans="1:2" x14ac:dyDescent="0.3">
      <c r="A1376" t="s">
        <v>133</v>
      </c>
      <c r="B1376">
        <f t="shared" si="27"/>
        <v>-1</v>
      </c>
    </row>
    <row r="1377" spans="1:2" x14ac:dyDescent="0.3">
      <c r="A1377" t="s">
        <v>133</v>
      </c>
      <c r="B1377">
        <f t="shared" si="27"/>
        <v>-1</v>
      </c>
    </row>
    <row r="1378" spans="1:2" x14ac:dyDescent="0.3">
      <c r="A1378" t="s">
        <v>133</v>
      </c>
      <c r="B1378">
        <f t="shared" si="27"/>
        <v>-1</v>
      </c>
    </row>
    <row r="1379" spans="1:2" x14ac:dyDescent="0.3">
      <c r="A1379" t="s">
        <v>133</v>
      </c>
      <c r="B1379">
        <f t="shared" si="27"/>
        <v>-1</v>
      </c>
    </row>
    <row r="1380" spans="1:2" x14ac:dyDescent="0.3">
      <c r="A1380" t="s">
        <v>133</v>
      </c>
      <c r="B1380">
        <f t="shared" si="27"/>
        <v>-1</v>
      </c>
    </row>
    <row r="1381" spans="1:2" x14ac:dyDescent="0.3">
      <c r="A1381" t="s">
        <v>133</v>
      </c>
      <c r="B1381">
        <f t="shared" si="27"/>
        <v>-1</v>
      </c>
    </row>
    <row r="1382" spans="1:2" x14ac:dyDescent="0.3">
      <c r="A1382" t="s">
        <v>133</v>
      </c>
      <c r="B1382">
        <f t="shared" si="27"/>
        <v>-1</v>
      </c>
    </row>
    <row r="1383" spans="1:2" x14ac:dyDescent="0.3">
      <c r="A1383" t="s">
        <v>133</v>
      </c>
      <c r="B1383">
        <f t="shared" si="27"/>
        <v>-1</v>
      </c>
    </row>
    <row r="1384" spans="1:2" x14ac:dyDescent="0.3">
      <c r="A1384" t="s">
        <v>133</v>
      </c>
      <c r="B1384">
        <f t="shared" si="27"/>
        <v>-1</v>
      </c>
    </row>
    <row r="1385" spans="1:2" x14ac:dyDescent="0.3">
      <c r="A1385" t="s">
        <v>133</v>
      </c>
      <c r="B1385">
        <f t="shared" si="27"/>
        <v>-1</v>
      </c>
    </row>
    <row r="1386" spans="1:2" x14ac:dyDescent="0.3">
      <c r="A1386" t="s">
        <v>133</v>
      </c>
      <c r="B1386">
        <f t="shared" si="27"/>
        <v>-1</v>
      </c>
    </row>
    <row r="1387" spans="1:2" x14ac:dyDescent="0.3">
      <c r="A1387" t="s">
        <v>133</v>
      </c>
      <c r="B1387">
        <f t="shared" si="27"/>
        <v>-1</v>
      </c>
    </row>
    <row r="1388" spans="1:2" x14ac:dyDescent="0.3">
      <c r="A1388" t="s">
        <v>133</v>
      </c>
      <c r="B1388">
        <f t="shared" si="27"/>
        <v>-1</v>
      </c>
    </row>
    <row r="1389" spans="1:2" x14ac:dyDescent="0.3">
      <c r="A1389" t="s">
        <v>133</v>
      </c>
      <c r="B1389">
        <f t="shared" si="27"/>
        <v>-1</v>
      </c>
    </row>
    <row r="1390" spans="1:2" x14ac:dyDescent="0.3">
      <c r="A1390" t="s">
        <v>133</v>
      </c>
      <c r="B1390">
        <f t="shared" si="27"/>
        <v>-1</v>
      </c>
    </row>
    <row r="1391" spans="1:2" x14ac:dyDescent="0.3">
      <c r="A1391" t="s">
        <v>133</v>
      </c>
      <c r="B1391">
        <f t="shared" si="27"/>
        <v>-1</v>
      </c>
    </row>
    <row r="1392" spans="1:2" x14ac:dyDescent="0.3">
      <c r="A1392" t="s">
        <v>133</v>
      </c>
      <c r="B1392">
        <f t="shared" si="27"/>
        <v>-1</v>
      </c>
    </row>
    <row r="1393" spans="1:2" x14ac:dyDescent="0.3">
      <c r="A1393" t="s">
        <v>133</v>
      </c>
      <c r="B1393">
        <f t="shared" si="27"/>
        <v>-1</v>
      </c>
    </row>
    <row r="1394" spans="1:2" x14ac:dyDescent="0.3">
      <c r="A1394" t="s">
        <v>133</v>
      </c>
      <c r="B1394">
        <f t="shared" si="27"/>
        <v>-1</v>
      </c>
    </row>
    <row r="1395" spans="1:2" x14ac:dyDescent="0.3">
      <c r="A1395" t="s">
        <v>133</v>
      </c>
      <c r="B1395">
        <f t="shared" si="27"/>
        <v>-1</v>
      </c>
    </row>
    <row r="1396" spans="1:2" x14ac:dyDescent="0.3">
      <c r="A1396" t="s">
        <v>133</v>
      </c>
      <c r="B1396">
        <f t="shared" si="27"/>
        <v>-1</v>
      </c>
    </row>
    <row r="1397" spans="1:2" x14ac:dyDescent="0.3">
      <c r="A1397" t="s">
        <v>133</v>
      </c>
      <c r="B1397">
        <f t="shared" si="27"/>
        <v>-1</v>
      </c>
    </row>
    <row r="1398" spans="1:2" x14ac:dyDescent="0.3">
      <c r="A1398" t="s">
        <v>133</v>
      </c>
      <c r="B1398">
        <f t="shared" si="27"/>
        <v>-1</v>
      </c>
    </row>
    <row r="1399" spans="1:2" x14ac:dyDescent="0.3">
      <c r="A1399" t="s">
        <v>133</v>
      </c>
      <c r="B1399">
        <f t="shared" si="27"/>
        <v>-1</v>
      </c>
    </row>
    <row r="1400" spans="1:2" x14ac:dyDescent="0.3">
      <c r="A1400" t="s">
        <v>133</v>
      </c>
      <c r="B1400">
        <f t="shared" si="27"/>
        <v>-1</v>
      </c>
    </row>
    <row r="1401" spans="1:2" x14ac:dyDescent="0.3">
      <c r="A1401" t="s">
        <v>133</v>
      </c>
      <c r="B1401">
        <f t="shared" si="27"/>
        <v>-1</v>
      </c>
    </row>
    <row r="1402" spans="1:2" x14ac:dyDescent="0.3">
      <c r="A1402" t="s">
        <v>133</v>
      </c>
      <c r="B1402">
        <f t="shared" si="27"/>
        <v>-1</v>
      </c>
    </row>
    <row r="1403" spans="1:2" x14ac:dyDescent="0.3">
      <c r="A1403" t="s">
        <v>133</v>
      </c>
      <c r="B1403">
        <f t="shared" si="27"/>
        <v>-1</v>
      </c>
    </row>
    <row r="1404" spans="1:2" x14ac:dyDescent="0.3">
      <c r="A1404" t="s">
        <v>133</v>
      </c>
      <c r="B1404">
        <f t="shared" si="27"/>
        <v>-1</v>
      </c>
    </row>
    <row r="1405" spans="1:2" x14ac:dyDescent="0.3">
      <c r="A1405" t="s">
        <v>133</v>
      </c>
      <c r="B1405">
        <f t="shared" si="27"/>
        <v>-1</v>
      </c>
    </row>
    <row r="1406" spans="1:2" x14ac:dyDescent="0.3">
      <c r="A1406" t="s">
        <v>133</v>
      </c>
      <c r="B1406">
        <f t="shared" si="27"/>
        <v>-1</v>
      </c>
    </row>
    <row r="1407" spans="1:2" x14ac:dyDescent="0.3">
      <c r="A1407" t="s">
        <v>133</v>
      </c>
      <c r="B1407">
        <f t="shared" si="27"/>
        <v>-1</v>
      </c>
    </row>
    <row r="1408" spans="1:2" x14ac:dyDescent="0.3">
      <c r="A1408" t="s">
        <v>133</v>
      </c>
      <c r="B1408">
        <f t="shared" si="27"/>
        <v>-1</v>
      </c>
    </row>
    <row r="1409" spans="1:2" x14ac:dyDescent="0.3">
      <c r="A1409" t="s">
        <v>133</v>
      </c>
      <c r="B1409">
        <f t="shared" si="27"/>
        <v>-1</v>
      </c>
    </row>
    <row r="1410" spans="1:2" x14ac:dyDescent="0.3">
      <c r="A1410" t="s">
        <v>133</v>
      </c>
      <c r="B1410">
        <f t="shared" ref="B1410:B1427" si="28">-A1410</f>
        <v>-1</v>
      </c>
    </row>
    <row r="1411" spans="1:2" x14ac:dyDescent="0.3">
      <c r="A1411" t="s">
        <v>133</v>
      </c>
      <c r="B1411">
        <f t="shared" si="28"/>
        <v>-1</v>
      </c>
    </row>
    <row r="1412" spans="1:2" x14ac:dyDescent="0.3">
      <c r="A1412" t="s">
        <v>133</v>
      </c>
      <c r="B1412">
        <f t="shared" si="28"/>
        <v>-1</v>
      </c>
    </row>
    <row r="1413" spans="1:2" x14ac:dyDescent="0.3">
      <c r="A1413" t="s">
        <v>133</v>
      </c>
      <c r="B1413">
        <f t="shared" si="28"/>
        <v>-1</v>
      </c>
    </row>
    <row r="1414" spans="1:2" x14ac:dyDescent="0.3">
      <c r="A1414" t="s">
        <v>133</v>
      </c>
      <c r="B1414">
        <f t="shared" si="28"/>
        <v>-1</v>
      </c>
    </row>
    <row r="1415" spans="1:2" x14ac:dyDescent="0.3">
      <c r="A1415" t="s">
        <v>133</v>
      </c>
      <c r="B1415">
        <f t="shared" si="28"/>
        <v>-1</v>
      </c>
    </row>
    <row r="1416" spans="1:2" x14ac:dyDescent="0.3">
      <c r="A1416" t="s">
        <v>133</v>
      </c>
      <c r="B1416">
        <f t="shared" si="28"/>
        <v>-1</v>
      </c>
    </row>
    <row r="1417" spans="1:2" x14ac:dyDescent="0.3">
      <c r="A1417" t="s">
        <v>133</v>
      </c>
      <c r="B1417">
        <f t="shared" si="28"/>
        <v>-1</v>
      </c>
    </row>
    <row r="1418" spans="1:2" x14ac:dyDescent="0.3">
      <c r="A1418" t="s">
        <v>133</v>
      </c>
      <c r="B1418">
        <f t="shared" si="28"/>
        <v>-1</v>
      </c>
    </row>
    <row r="1419" spans="1:2" x14ac:dyDescent="0.3">
      <c r="A1419" t="s">
        <v>133</v>
      </c>
      <c r="B1419">
        <f t="shared" si="28"/>
        <v>-1</v>
      </c>
    </row>
    <row r="1420" spans="1:2" x14ac:dyDescent="0.3">
      <c r="A1420" t="s">
        <v>133</v>
      </c>
      <c r="B1420">
        <f t="shared" si="28"/>
        <v>-1</v>
      </c>
    </row>
    <row r="1421" spans="1:2" x14ac:dyDescent="0.3">
      <c r="A1421" t="s">
        <v>133</v>
      </c>
      <c r="B1421">
        <f t="shared" si="28"/>
        <v>-1</v>
      </c>
    </row>
    <row r="1422" spans="1:2" x14ac:dyDescent="0.3">
      <c r="A1422" t="s">
        <v>133</v>
      </c>
      <c r="B1422">
        <f t="shared" si="28"/>
        <v>-1</v>
      </c>
    </row>
    <row r="1423" spans="1:2" x14ac:dyDescent="0.3">
      <c r="A1423" t="s">
        <v>133</v>
      </c>
      <c r="B1423">
        <f t="shared" si="28"/>
        <v>-1</v>
      </c>
    </row>
    <row r="1424" spans="1:2" x14ac:dyDescent="0.3">
      <c r="A1424" t="s">
        <v>133</v>
      </c>
      <c r="B1424">
        <f t="shared" si="28"/>
        <v>-1</v>
      </c>
    </row>
    <row r="1425" spans="1:2" x14ac:dyDescent="0.3">
      <c r="A1425" t="s">
        <v>133</v>
      </c>
      <c r="B1425">
        <f t="shared" si="28"/>
        <v>-1</v>
      </c>
    </row>
    <row r="1426" spans="1:2" x14ac:dyDescent="0.3">
      <c r="A1426" t="s">
        <v>133</v>
      </c>
      <c r="B1426">
        <f t="shared" si="28"/>
        <v>-1</v>
      </c>
    </row>
    <row r="1427" spans="1:2" x14ac:dyDescent="0.3">
      <c r="A1427" t="s">
        <v>133</v>
      </c>
      <c r="B1427">
        <f t="shared" si="28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HSN</vt:lpstr>
      <vt:lpstr>TCS</vt:lpstr>
      <vt:lpstr>B2C</vt:lpstr>
      <vt:lpstr>raw</vt:lpstr>
      <vt:lpstr> State_Mapping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Chakraborty</dc:creator>
  <cp:lastModifiedBy>Wansh Sharma</cp:lastModifiedBy>
  <cp:lastPrinted>2023-01-11T14:29:56Z</cp:lastPrinted>
  <dcterms:created xsi:type="dcterms:W3CDTF">2022-10-29T04:32:53Z</dcterms:created>
  <dcterms:modified xsi:type="dcterms:W3CDTF">2025-12-09T18:27:19Z</dcterms:modified>
</cp:coreProperties>
</file>